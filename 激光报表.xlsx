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fileSharing userName="Administrator" algorithmName="SHA-512" hashValue="2XexZu0oc8DFIXNEEaZp2t76TxU/E3u6+lcRUwqTklIv2ZHfby8cN+tQsChfomU++HBAltDsfHIeXsdADP0XuQ==" saltValue="+Q+xfGjKjbZsgfrpwoEmpg==" spinCount="10000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VSPD\"/>
    </mc:Choice>
  </mc:AlternateContent>
  <xr:revisionPtr revIDLastSave="0" documentId="13_ncr:10001_{E7A2645E-0A7B-42BD-904D-9739B6DCBB49}" xr6:coauthVersionLast="47" xr6:coauthVersionMax="47" xr10:uidLastSave="{00000000-0000-0000-0000-000000000000}"/>
  <bookViews>
    <workbookView xWindow="-120" yWindow="-120" windowWidth="29040" windowHeight="15720" tabRatio="821" activeTab="2" xr2:uid="{00000000-000D-0000-FFFF-FFFF00000000}"/>
  </bookViews>
  <sheets>
    <sheet name="产品资料" sheetId="27" r:id="rId1"/>
    <sheet name="订单数量" sheetId="28" r:id="rId2"/>
    <sheet name="生产日报" sheetId="8" r:id="rId3"/>
    <sheet name="打包记录" sheetId="6" r:id="rId4"/>
    <sheet name="标签" sheetId="16" r:id="rId5"/>
    <sheet name="标签 (2)" sheetId="54" state="hidden" r:id="rId6"/>
  </sheets>
  <definedNames>
    <definedName name="_xlnm._FilterDatabase" localSheetId="4" hidden="1">标签!$A$1:$D$7</definedName>
    <definedName name="_xlnm._FilterDatabase" localSheetId="5" hidden="1">'标签 (2)'!$A$1:$D$5</definedName>
    <definedName name="_xlnm._FilterDatabase" localSheetId="0" hidden="1">产品资料!$A$1:$S$33</definedName>
    <definedName name="_xlnm._FilterDatabase" localSheetId="3" hidden="1">打包记录!$A$1:$Q$142</definedName>
    <definedName name="_xlnm._FilterDatabase" localSheetId="1" hidden="1">订单数量!$A$1:$N$25</definedName>
    <definedName name="_xlnm._FilterDatabase" localSheetId="2" hidden="1">生产日报!$A$4:$T$346</definedName>
    <definedName name="solver_eng" localSheetId="2" hidden="1">1</definedName>
    <definedName name="solver_neg" localSheetId="2" hidden="1">1</definedName>
    <definedName name="solver_num" localSheetId="2" hidden="1">0</definedName>
    <definedName name="solver_opt" localSheetId="2" hidden="1">生产日报!#REF!</definedName>
    <definedName name="solver_typ" localSheetId="2" hidden="1">1</definedName>
    <definedName name="solver_val" localSheetId="2" hidden="1">0</definedName>
    <definedName name="solver_ver" localSheetId="2" hidden="1">3</definedName>
    <definedName name="合包计算" localSheetId="2">IF(ISNUMBER(SEARCH("合包",生产日报!C1048576)),SUMIFS(生产日报!XEZ:XEZ,生产日报!XEW:XEW,_xlfn.SINGLE(生产日报!XEW:XEW),生产日报!XEV:XEV,_xlfn.SINGLE(生产日报!XEV:XEV))-SUMIFS(打包记录!XEZ:XEZ,打包记录!XEW:XEW,_xlfn.SINGLE(生产日报!XEW:XEW),打包记录!XEV:XEV,_xlfn.SINGLE(生产日报!XEV:XEV)),SUMIFS(生产日报!XEZ:XEZ,生产日报!XET:XET,_xlfn.SINGLE(生产日报!XET:XET),生产日报!XEW:XEW,_xlfn.SINGLE(生产日报!XEW:XEW),生产日报!XEV:XEV,_xlfn.SINGLE(生产日报!XEV:XEV))-SUMIFS(打包记录!XEZ:XEZ,打包记录!XEW:XEW,_xlfn.SINGLE(生产日报!XEW:XEW),打包记录!XEV:XEV,_xlfn.SINGLE(生产日报!XEV:XEV)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2" i="6" l="1"/>
  <c r="H142" i="6"/>
  <c r="A142" i="6"/>
  <c r="I141" i="6"/>
  <c r="H141" i="6"/>
  <c r="A141" i="6"/>
  <c r="I140" i="6"/>
  <c r="H140" i="6"/>
  <c r="A140" i="6"/>
  <c r="I139" i="6"/>
  <c r="H139" i="6"/>
  <c r="A139" i="6"/>
  <c r="I138" i="6"/>
  <c r="H138" i="6"/>
  <c r="A138" i="6"/>
  <c r="I137" i="6"/>
  <c r="H137" i="6"/>
  <c r="A137" i="6"/>
  <c r="I136" i="6"/>
  <c r="H136" i="6"/>
  <c r="A136" i="6"/>
  <c r="I135" i="6"/>
  <c r="H135" i="6"/>
  <c r="A135" i="6"/>
  <c r="I134" i="6"/>
  <c r="H134" i="6"/>
  <c r="A134" i="6"/>
  <c r="I133" i="6"/>
  <c r="H133" i="6"/>
  <c r="A133" i="6"/>
  <c r="I132" i="6"/>
  <c r="H132" i="6"/>
  <c r="A132" i="6"/>
  <c r="I131" i="6"/>
  <c r="H131" i="6"/>
  <c r="A131" i="6"/>
  <c r="I130" i="6"/>
  <c r="H130" i="6"/>
  <c r="A130" i="6"/>
  <c r="I129" i="6"/>
  <c r="H129" i="6"/>
  <c r="A129" i="6"/>
  <c r="I128" i="6"/>
  <c r="H128" i="6"/>
  <c r="A128" i="6"/>
  <c r="I127" i="6"/>
  <c r="H127" i="6"/>
  <c r="A127" i="6"/>
  <c r="I126" i="6"/>
  <c r="H126" i="6"/>
  <c r="A126" i="6"/>
  <c r="I125" i="6"/>
  <c r="H125" i="6"/>
  <c r="A125" i="6"/>
  <c r="I124" i="6"/>
  <c r="H124" i="6"/>
  <c r="A124" i="6"/>
  <c r="I123" i="6"/>
  <c r="H123" i="6"/>
  <c r="A123" i="6"/>
  <c r="I122" i="6"/>
  <c r="H122" i="6"/>
  <c r="A122" i="6"/>
  <c r="I121" i="6"/>
  <c r="H121" i="6"/>
  <c r="A121" i="6"/>
  <c r="I120" i="6"/>
  <c r="H120" i="6"/>
  <c r="A120" i="6"/>
  <c r="I119" i="6"/>
  <c r="H119" i="6"/>
  <c r="A119" i="6"/>
  <c r="I118" i="6"/>
  <c r="H118" i="6"/>
  <c r="A118" i="6"/>
  <c r="I117" i="6"/>
  <c r="H117" i="6"/>
  <c r="A117" i="6"/>
  <c r="I116" i="6"/>
  <c r="H116" i="6"/>
  <c r="A116" i="6"/>
  <c r="I115" i="6"/>
  <c r="H115" i="6"/>
  <c r="A115" i="6"/>
  <c r="I114" i="6"/>
  <c r="H114" i="6"/>
  <c r="A114" i="6"/>
  <c r="I113" i="6"/>
  <c r="H113" i="6"/>
  <c r="A113" i="6"/>
  <c r="I112" i="6"/>
  <c r="H112" i="6"/>
  <c r="A112" i="6"/>
  <c r="I111" i="6"/>
  <c r="H111" i="6"/>
  <c r="A111" i="6"/>
  <c r="I110" i="6"/>
  <c r="H110" i="6"/>
  <c r="A110" i="6"/>
  <c r="I109" i="6"/>
  <c r="H109" i="6"/>
  <c r="A109" i="6"/>
  <c r="I108" i="6"/>
  <c r="H108" i="6"/>
  <c r="A108" i="6"/>
  <c r="I107" i="6"/>
  <c r="H107" i="6"/>
  <c r="A107" i="6"/>
  <c r="I106" i="6"/>
  <c r="H106" i="6"/>
  <c r="A106" i="6"/>
  <c r="I105" i="6"/>
  <c r="H105" i="6"/>
  <c r="A105" i="6"/>
  <c r="I104" i="6"/>
  <c r="H104" i="6"/>
  <c r="A104" i="6"/>
  <c r="I103" i="6"/>
  <c r="H103" i="6"/>
  <c r="A103" i="6"/>
  <c r="I102" i="6"/>
  <c r="H102" i="6"/>
  <c r="A102" i="6"/>
  <c r="I101" i="6"/>
  <c r="H101" i="6"/>
  <c r="A101" i="6"/>
  <c r="I100" i="6"/>
  <c r="H100" i="6"/>
  <c r="A100" i="6"/>
  <c r="I99" i="6"/>
  <c r="H99" i="6"/>
  <c r="A99" i="6"/>
  <c r="I98" i="6"/>
  <c r="H98" i="6"/>
  <c r="A98" i="6"/>
  <c r="I97" i="6"/>
  <c r="H97" i="6"/>
  <c r="A97" i="6"/>
  <c r="I96" i="6"/>
  <c r="H96" i="6"/>
  <c r="A96" i="6"/>
  <c r="I95" i="6"/>
  <c r="H95" i="6"/>
  <c r="A95" i="6"/>
  <c r="I94" i="6"/>
  <c r="H94" i="6"/>
  <c r="A94" i="6"/>
  <c r="I93" i="6"/>
  <c r="H93" i="6"/>
  <c r="A93" i="6"/>
  <c r="I92" i="6"/>
  <c r="H92" i="6"/>
  <c r="A92" i="6"/>
  <c r="I91" i="6"/>
  <c r="H91" i="6"/>
  <c r="A91" i="6"/>
  <c r="I90" i="6"/>
  <c r="H90" i="6"/>
  <c r="A90" i="6"/>
  <c r="I89" i="6"/>
  <c r="H89" i="6"/>
  <c r="A89" i="6"/>
  <c r="I88" i="6"/>
  <c r="H88" i="6"/>
  <c r="A88" i="6"/>
  <c r="I87" i="6"/>
  <c r="H87" i="6"/>
  <c r="A87" i="6"/>
  <c r="I86" i="6"/>
  <c r="H86" i="6"/>
  <c r="A86" i="6"/>
  <c r="I85" i="6"/>
  <c r="H85" i="6"/>
  <c r="A85" i="6"/>
  <c r="I84" i="6"/>
  <c r="H84" i="6"/>
  <c r="A84" i="6"/>
  <c r="I83" i="6"/>
  <c r="H83" i="6"/>
  <c r="A83" i="6"/>
  <c r="I82" i="6"/>
  <c r="H82" i="6"/>
  <c r="A82" i="6"/>
  <c r="I81" i="6"/>
  <c r="H81" i="6"/>
  <c r="A81" i="6"/>
  <c r="I80" i="6"/>
  <c r="H80" i="6"/>
  <c r="A80" i="6"/>
  <c r="I79" i="6"/>
  <c r="H79" i="6"/>
  <c r="A79" i="6"/>
  <c r="I78" i="6"/>
  <c r="H78" i="6"/>
  <c r="A78" i="6"/>
  <c r="I77" i="6"/>
  <c r="H77" i="6"/>
  <c r="A77" i="6"/>
  <c r="I76" i="6"/>
  <c r="H76" i="6"/>
  <c r="A76" i="6"/>
  <c r="I75" i="6"/>
  <c r="H75" i="6"/>
  <c r="A75" i="6"/>
  <c r="I74" i="6"/>
  <c r="H74" i="6"/>
  <c r="A74" i="6"/>
  <c r="I73" i="6"/>
  <c r="H73" i="6"/>
  <c r="A73" i="6"/>
  <c r="I72" i="6"/>
  <c r="H72" i="6"/>
  <c r="A72" i="6"/>
  <c r="I71" i="6"/>
  <c r="H71" i="6"/>
  <c r="A71" i="6"/>
  <c r="I70" i="6"/>
  <c r="H70" i="6"/>
  <c r="A70" i="6"/>
  <c r="I69" i="6"/>
  <c r="H69" i="6"/>
  <c r="A69" i="6"/>
  <c r="I68" i="6"/>
  <c r="H68" i="6"/>
  <c r="A68" i="6"/>
  <c r="I67" i="6"/>
  <c r="H67" i="6"/>
  <c r="A67" i="6"/>
  <c r="I66" i="6"/>
  <c r="H66" i="6"/>
  <c r="A66" i="6"/>
  <c r="I65" i="6"/>
  <c r="H65" i="6"/>
  <c r="A65" i="6"/>
  <c r="I64" i="6"/>
  <c r="H64" i="6"/>
  <c r="A64" i="6"/>
  <c r="I63" i="6"/>
  <c r="H63" i="6"/>
  <c r="A63" i="6"/>
  <c r="I62" i="6"/>
  <c r="H62" i="6"/>
  <c r="A62" i="6"/>
  <c r="I61" i="6"/>
  <c r="H61" i="6"/>
  <c r="A61" i="6"/>
  <c r="I60" i="6"/>
  <c r="H60" i="6"/>
  <c r="A60" i="6"/>
  <c r="I59" i="6"/>
  <c r="H59" i="6"/>
  <c r="A59" i="6"/>
  <c r="I58" i="6"/>
  <c r="H58" i="6"/>
  <c r="A58" i="6"/>
  <c r="I57" i="6"/>
  <c r="H57" i="6"/>
  <c r="A57" i="6"/>
  <c r="I56" i="6"/>
  <c r="H56" i="6"/>
  <c r="A56" i="6"/>
  <c r="I55" i="6"/>
  <c r="H55" i="6"/>
  <c r="A55" i="6"/>
  <c r="I54" i="6"/>
  <c r="H54" i="6"/>
  <c r="A54" i="6"/>
  <c r="I53" i="6"/>
  <c r="H53" i="6"/>
  <c r="A53" i="6"/>
  <c r="I52" i="6"/>
  <c r="H52" i="6"/>
  <c r="A52" i="6"/>
  <c r="I51" i="6"/>
  <c r="H51" i="6"/>
  <c r="A51" i="6"/>
  <c r="I50" i="6"/>
  <c r="H50" i="6"/>
  <c r="A50" i="6"/>
  <c r="I49" i="6"/>
  <c r="H49" i="6"/>
  <c r="A49" i="6"/>
  <c r="I48" i="6"/>
  <c r="H48" i="6"/>
  <c r="A48" i="6"/>
  <c r="I47" i="6"/>
  <c r="H47" i="6"/>
  <c r="A47" i="6"/>
  <c r="I46" i="6"/>
  <c r="H46" i="6"/>
  <c r="A46" i="6"/>
  <c r="I45" i="6"/>
  <c r="H45" i="6"/>
  <c r="A45" i="6"/>
  <c r="I44" i="6"/>
  <c r="H44" i="6"/>
  <c r="A44" i="6"/>
  <c r="I43" i="6"/>
  <c r="H43" i="6"/>
  <c r="A43" i="6"/>
  <c r="I42" i="6"/>
  <c r="H42" i="6"/>
  <c r="A42" i="6"/>
  <c r="I41" i="6"/>
  <c r="H41" i="6"/>
  <c r="A41" i="6"/>
  <c r="I40" i="6"/>
  <c r="H40" i="6"/>
  <c r="A40" i="6"/>
  <c r="I39" i="6"/>
  <c r="H39" i="6"/>
  <c r="A39" i="6"/>
  <c r="I38" i="6"/>
  <c r="H38" i="6"/>
  <c r="A38" i="6"/>
  <c r="I37" i="6"/>
  <c r="H37" i="6"/>
  <c r="A37" i="6"/>
  <c r="I36" i="6"/>
  <c r="H36" i="6"/>
  <c r="A36" i="6"/>
  <c r="I35" i="6"/>
  <c r="H35" i="6"/>
  <c r="A35" i="6"/>
  <c r="I34" i="6"/>
  <c r="H34" i="6"/>
  <c r="A34" i="6"/>
  <c r="I33" i="6"/>
  <c r="H33" i="6"/>
  <c r="A33" i="6"/>
  <c r="I32" i="6"/>
  <c r="H32" i="6"/>
  <c r="A32" i="6"/>
  <c r="I31" i="6"/>
  <c r="H31" i="6"/>
  <c r="A31" i="6"/>
  <c r="I30" i="6"/>
  <c r="H30" i="6"/>
  <c r="A30" i="6"/>
  <c r="I29" i="6"/>
  <c r="H29" i="6"/>
  <c r="A29" i="6"/>
  <c r="I28" i="6"/>
  <c r="H28" i="6"/>
  <c r="A28" i="6"/>
  <c r="I27" i="6"/>
  <c r="H27" i="6"/>
  <c r="A27" i="6"/>
  <c r="I26" i="6"/>
  <c r="H26" i="6"/>
  <c r="A26" i="6"/>
  <c r="I25" i="6"/>
  <c r="H25" i="6"/>
  <c r="A25" i="6"/>
  <c r="I24" i="6"/>
  <c r="H24" i="6"/>
  <c r="A24" i="6"/>
  <c r="I23" i="6"/>
  <c r="H23" i="6"/>
  <c r="A23" i="6"/>
  <c r="I22" i="6"/>
  <c r="H22" i="6"/>
  <c r="A22" i="6"/>
  <c r="I21" i="6"/>
  <c r="H21" i="6"/>
  <c r="A21" i="6"/>
  <c r="I20" i="6"/>
  <c r="H20" i="6"/>
  <c r="A20" i="6"/>
  <c r="I19" i="6"/>
  <c r="H19" i="6"/>
  <c r="A19" i="6"/>
  <c r="I18" i="6"/>
  <c r="H18" i="6"/>
  <c r="A18" i="6"/>
  <c r="I17" i="6"/>
  <c r="H17" i="6"/>
  <c r="A17" i="6"/>
  <c r="I16" i="6"/>
  <c r="H16" i="6"/>
  <c r="A16" i="6"/>
  <c r="I15" i="6"/>
  <c r="H15" i="6"/>
  <c r="A15" i="6"/>
  <c r="I14" i="6"/>
  <c r="H14" i="6"/>
  <c r="A14" i="6"/>
  <c r="I13" i="6"/>
  <c r="H13" i="6"/>
  <c r="A13" i="6"/>
  <c r="I12" i="6"/>
  <c r="H12" i="6"/>
  <c r="A12" i="6"/>
  <c r="I11" i="6"/>
  <c r="H11" i="6"/>
  <c r="A11" i="6"/>
  <c r="I10" i="6"/>
  <c r="H10" i="6"/>
  <c r="A10" i="6"/>
  <c r="I9" i="6"/>
  <c r="H9" i="6"/>
  <c r="A9" i="6"/>
  <c r="I8" i="6"/>
  <c r="H8" i="6"/>
  <c r="A8" i="6"/>
  <c r="I7" i="6"/>
  <c r="H7" i="6"/>
  <c r="A7" i="6"/>
  <c r="I6" i="6"/>
  <c r="H6" i="6"/>
  <c r="A6" i="6"/>
  <c r="I5" i="6"/>
  <c r="H5" i="6"/>
  <c r="A5" i="6"/>
  <c r="I4" i="6"/>
  <c r="H4" i="6"/>
  <c r="A4" i="6"/>
  <c r="I3" i="6"/>
  <c r="H3" i="6"/>
  <c r="A3" i="6"/>
  <c r="I2" i="6"/>
  <c r="H2" i="6"/>
  <c r="A2" i="6"/>
  <c r="G25" i="28"/>
  <c r="F25" i="28"/>
  <c r="E25" i="28"/>
  <c r="G24" i="28"/>
  <c r="F24" i="28"/>
  <c r="E24" i="28"/>
  <c r="G23" i="28"/>
  <c r="F23" i="28"/>
  <c r="E23" i="28"/>
  <c r="G22" i="28"/>
  <c r="F22" i="28"/>
  <c r="E22" i="28"/>
  <c r="G21" i="28"/>
  <c r="F21" i="28"/>
  <c r="E21" i="28"/>
  <c r="G20" i="28"/>
  <c r="F20" i="28"/>
  <c r="E20" i="28"/>
  <c r="G19" i="28"/>
  <c r="F19" i="28"/>
  <c r="E19" i="28"/>
  <c r="G18" i="28"/>
  <c r="F18" i="28"/>
  <c r="E18" i="28"/>
  <c r="G17" i="28"/>
  <c r="F17" i="28"/>
  <c r="E17" i="28"/>
  <c r="G16" i="28"/>
  <c r="F16" i="28"/>
  <c r="E16" i="28"/>
  <c r="G15" i="28"/>
  <c r="F15" i="28"/>
  <c r="E15" i="28"/>
  <c r="G14" i="28"/>
  <c r="F14" i="28"/>
  <c r="E14" i="28"/>
  <c r="G13" i="28"/>
  <c r="F13" i="28"/>
  <c r="E13" i="28"/>
  <c r="G12" i="28"/>
  <c r="F12" i="28"/>
  <c r="E12" i="28"/>
  <c r="G11" i="28"/>
  <c r="F11" i="28"/>
  <c r="E11" i="28"/>
  <c r="G10" i="28"/>
  <c r="F10" i="28"/>
  <c r="E10" i="28"/>
  <c r="G9" i="28"/>
  <c r="F9" i="28"/>
  <c r="E9" i="28"/>
  <c r="G8" i="28"/>
  <c r="F8" i="28"/>
  <c r="E8" i="28"/>
  <c r="G7" i="28"/>
  <c r="F7" i="28"/>
  <c r="E7" i="28"/>
  <c r="G6" i="28"/>
  <c r="F6" i="28"/>
  <c r="E6" i="28"/>
  <c r="G5" i="28"/>
  <c r="F5" i="28"/>
  <c r="E5" i="28"/>
  <c r="G4" i="28"/>
  <c r="F4" i="28"/>
  <c r="E4" i="28"/>
  <c r="G3" i="28"/>
  <c r="F3" i="28"/>
  <c r="E3" i="28"/>
  <c r="G2" i="28"/>
  <c r="F2" i="28"/>
  <c r="E2" i="28"/>
  <c r="O29" i="27"/>
  <c r="L29" i="27"/>
  <c r="O28" i="27"/>
  <c r="O27" i="27"/>
  <c r="O26" i="27"/>
  <c r="O25" i="27"/>
  <c r="O24" i="27"/>
  <c r="O23" i="27"/>
  <c r="O22" i="27"/>
  <c r="O21" i="27"/>
  <c r="O20" i="27"/>
  <c r="O19" i="27"/>
  <c r="O18" i="27"/>
  <c r="O17" i="27"/>
  <c r="O16" i="27"/>
  <c r="O15" i="27"/>
  <c r="O14" i="27"/>
  <c r="O13" i="27"/>
  <c r="O12" i="27"/>
  <c r="O11" i="27"/>
  <c r="O10" i="27"/>
  <c r="O9" i="27"/>
  <c r="O8" i="27"/>
  <c r="O7" i="27"/>
  <c r="O6" i="27"/>
  <c r="O5" i="27"/>
  <c r="O4" i="27"/>
  <c r="O3" i="27"/>
  <c r="O2" i="27"/>
  <c r="J346" i="8"/>
  <c r="I346" i="8"/>
  <c r="H346" i="8"/>
  <c r="J345" i="8"/>
  <c r="I345" i="8"/>
  <c r="H345" i="8"/>
  <c r="J344" i="8"/>
  <c r="N344" i="8" s="1"/>
  <c r="I344" i="8"/>
  <c r="H344" i="8"/>
  <c r="J343" i="8"/>
  <c r="L343" i="8" s="1"/>
  <c r="I343" i="8"/>
  <c r="H343" i="8"/>
  <c r="J342" i="8"/>
  <c r="I342" i="8"/>
  <c r="H342" i="8"/>
  <c r="J341" i="8"/>
  <c r="I341" i="8"/>
  <c r="H341" i="8"/>
  <c r="J340" i="8"/>
  <c r="I340" i="8"/>
  <c r="H340" i="8"/>
  <c r="J339" i="8"/>
  <c r="I339" i="8"/>
  <c r="H339" i="8"/>
  <c r="J338" i="8"/>
  <c r="I338" i="8"/>
  <c r="H338" i="8"/>
  <c r="J337" i="8"/>
  <c r="M337" i="8" s="1"/>
  <c r="I337" i="8"/>
  <c r="H337" i="8"/>
  <c r="J336" i="8"/>
  <c r="N336" i="8" s="1"/>
  <c r="I336" i="8"/>
  <c r="H336" i="8"/>
  <c r="J335" i="8"/>
  <c r="N335" i="8" s="1"/>
  <c r="I335" i="8"/>
  <c r="H335" i="8"/>
  <c r="J334" i="8"/>
  <c r="I334" i="8"/>
  <c r="H334" i="8"/>
  <c r="J333" i="8"/>
  <c r="I333" i="8"/>
  <c r="H333" i="8"/>
  <c r="J332" i="8"/>
  <c r="N332" i="8" s="1"/>
  <c r="I332" i="8"/>
  <c r="H332" i="8"/>
  <c r="J331" i="8"/>
  <c r="I331" i="8"/>
  <c r="H331" i="8"/>
  <c r="J330" i="8"/>
  <c r="I330" i="8"/>
  <c r="H330" i="8"/>
  <c r="J329" i="8"/>
  <c r="I329" i="8"/>
  <c r="H329" i="8"/>
  <c r="J328" i="8"/>
  <c r="N328" i="8" s="1"/>
  <c r="I328" i="8"/>
  <c r="H328" i="8"/>
  <c r="J327" i="8"/>
  <c r="I327" i="8"/>
  <c r="H327" i="8"/>
  <c r="J326" i="8"/>
  <c r="M326" i="8" s="1"/>
  <c r="I326" i="8"/>
  <c r="H326" i="8"/>
  <c r="J325" i="8"/>
  <c r="N325" i="8" s="1"/>
  <c r="I325" i="8"/>
  <c r="H325" i="8"/>
  <c r="J324" i="8"/>
  <c r="I324" i="8"/>
  <c r="H324" i="8"/>
  <c r="J323" i="8"/>
  <c r="I323" i="8"/>
  <c r="H323" i="8"/>
  <c r="J322" i="8"/>
  <c r="N322" i="8" s="1"/>
  <c r="I322" i="8"/>
  <c r="H322" i="8"/>
  <c r="J321" i="8"/>
  <c r="N321" i="8" s="1"/>
  <c r="I321" i="8"/>
  <c r="H321" i="8"/>
  <c r="J320" i="8"/>
  <c r="I320" i="8"/>
  <c r="H320" i="8"/>
  <c r="J319" i="8"/>
  <c r="M319" i="8" s="1"/>
  <c r="I319" i="8"/>
  <c r="H319" i="8"/>
  <c r="J318" i="8"/>
  <c r="I318" i="8"/>
  <c r="H318" i="8"/>
  <c r="J317" i="8"/>
  <c r="I317" i="8"/>
  <c r="H317" i="8"/>
  <c r="J316" i="8"/>
  <c r="I316" i="8"/>
  <c r="H316" i="8"/>
  <c r="J315" i="8"/>
  <c r="I315" i="8"/>
  <c r="H315" i="8"/>
  <c r="J314" i="8"/>
  <c r="I314" i="8"/>
  <c r="H314" i="8"/>
  <c r="J313" i="8"/>
  <c r="I313" i="8"/>
  <c r="H313" i="8"/>
  <c r="J312" i="8"/>
  <c r="I312" i="8"/>
  <c r="H312" i="8"/>
  <c r="J311" i="8"/>
  <c r="N311" i="8" s="1"/>
  <c r="I311" i="8"/>
  <c r="H311" i="8"/>
  <c r="J310" i="8"/>
  <c r="N310" i="8" s="1"/>
  <c r="I310" i="8"/>
  <c r="H310" i="8"/>
  <c r="J309" i="8"/>
  <c r="I309" i="8"/>
  <c r="H309" i="8"/>
  <c r="J308" i="8"/>
  <c r="M308" i="8" s="1"/>
  <c r="I308" i="8"/>
  <c r="H308" i="8"/>
  <c r="J307" i="8"/>
  <c r="N307" i="8" s="1"/>
  <c r="I307" i="8"/>
  <c r="H307" i="8"/>
  <c r="J306" i="8"/>
  <c r="I306" i="8"/>
  <c r="H306" i="8"/>
  <c r="J305" i="8"/>
  <c r="I305" i="8"/>
  <c r="H305" i="8"/>
  <c r="J304" i="8"/>
  <c r="N304" i="8" s="1"/>
  <c r="I304" i="8"/>
  <c r="H304" i="8"/>
  <c r="J303" i="8"/>
  <c r="M303" i="8" s="1"/>
  <c r="I303" i="8"/>
  <c r="H303" i="8"/>
  <c r="J302" i="8"/>
  <c r="I302" i="8"/>
  <c r="H302" i="8"/>
  <c r="J301" i="8"/>
  <c r="M301" i="8" s="1"/>
  <c r="I301" i="8"/>
  <c r="H301" i="8"/>
  <c r="J300" i="8"/>
  <c r="I300" i="8"/>
  <c r="H300" i="8"/>
  <c r="J299" i="8"/>
  <c r="I299" i="8"/>
  <c r="H299" i="8"/>
  <c r="J298" i="8"/>
  <c r="N298" i="8" s="1"/>
  <c r="I298" i="8"/>
  <c r="H298" i="8"/>
  <c r="J297" i="8"/>
  <c r="I297" i="8"/>
  <c r="H297" i="8"/>
  <c r="J296" i="8"/>
  <c r="I296" i="8"/>
  <c r="H296" i="8"/>
  <c r="J295" i="8"/>
  <c r="I295" i="8"/>
  <c r="H295" i="8"/>
  <c r="J294" i="8"/>
  <c r="I294" i="8"/>
  <c r="H294" i="8"/>
  <c r="J293" i="8"/>
  <c r="I293" i="8"/>
  <c r="H293" i="8"/>
  <c r="J292" i="8"/>
  <c r="N292" i="8" s="1"/>
  <c r="I292" i="8"/>
  <c r="H292" i="8"/>
  <c r="J291" i="8"/>
  <c r="I291" i="8"/>
  <c r="H291" i="8"/>
  <c r="J290" i="8"/>
  <c r="I290" i="8"/>
  <c r="H290" i="8"/>
  <c r="J289" i="8"/>
  <c r="M289" i="8" s="1"/>
  <c r="I289" i="8"/>
  <c r="H289" i="8"/>
  <c r="J288" i="8"/>
  <c r="I288" i="8"/>
  <c r="H288" i="8"/>
  <c r="J287" i="8"/>
  <c r="I287" i="8"/>
  <c r="H287" i="8"/>
  <c r="J286" i="8"/>
  <c r="I286" i="8"/>
  <c r="H286" i="8"/>
  <c r="J285" i="8"/>
  <c r="I285" i="8"/>
  <c r="H285" i="8"/>
  <c r="J284" i="8"/>
  <c r="I284" i="8"/>
  <c r="H284" i="8"/>
  <c r="J283" i="8"/>
  <c r="I283" i="8"/>
  <c r="H283" i="8"/>
  <c r="J282" i="8"/>
  <c r="I282" i="8"/>
  <c r="H282" i="8"/>
  <c r="J281" i="8"/>
  <c r="I281" i="8"/>
  <c r="H281" i="8"/>
  <c r="J280" i="8"/>
  <c r="N280" i="8" s="1"/>
  <c r="I280" i="8"/>
  <c r="H280" i="8"/>
  <c r="J279" i="8"/>
  <c r="I279" i="8"/>
  <c r="H279" i="8"/>
  <c r="J278" i="8"/>
  <c r="I278" i="8"/>
  <c r="H278" i="8"/>
  <c r="J277" i="8"/>
  <c r="M277" i="8" s="1"/>
  <c r="I277" i="8"/>
  <c r="H277" i="8"/>
  <c r="J276" i="8"/>
  <c r="I276" i="8"/>
  <c r="H276" i="8"/>
  <c r="J275" i="8"/>
  <c r="I275" i="8"/>
  <c r="H275" i="8"/>
  <c r="J274" i="8"/>
  <c r="I274" i="8"/>
  <c r="H274" i="8"/>
  <c r="J273" i="8"/>
  <c r="I273" i="8"/>
  <c r="H273" i="8"/>
  <c r="J272" i="8"/>
  <c r="I272" i="8"/>
  <c r="H272" i="8"/>
  <c r="J271" i="8"/>
  <c r="I271" i="8"/>
  <c r="H271" i="8"/>
  <c r="J270" i="8"/>
  <c r="I270" i="8"/>
  <c r="H270" i="8"/>
  <c r="J269" i="8"/>
  <c r="I269" i="8"/>
  <c r="H269" i="8"/>
  <c r="J268" i="8"/>
  <c r="N268" i="8" s="1"/>
  <c r="I268" i="8"/>
  <c r="H268" i="8"/>
  <c r="J267" i="8"/>
  <c r="I267" i="8"/>
  <c r="H267" i="8"/>
  <c r="J266" i="8"/>
  <c r="N266" i="8" s="1"/>
  <c r="I266" i="8"/>
  <c r="H266" i="8"/>
  <c r="J265" i="8"/>
  <c r="I265" i="8"/>
  <c r="H265" i="8"/>
  <c r="J264" i="8"/>
  <c r="I264" i="8"/>
  <c r="H264" i="8"/>
  <c r="J263" i="8"/>
  <c r="N263" i="8" s="1"/>
  <c r="I263" i="8"/>
  <c r="H263" i="8"/>
  <c r="P262" i="8"/>
  <c r="N262" i="8"/>
  <c r="M262" i="8"/>
  <c r="I262" i="8"/>
  <c r="H262" i="8"/>
  <c r="J261" i="8"/>
  <c r="I261" i="8"/>
  <c r="H261" i="8"/>
  <c r="J260" i="8"/>
  <c r="I260" i="8"/>
  <c r="H260" i="8"/>
  <c r="J259" i="8"/>
  <c r="N259" i="8" s="1"/>
  <c r="I259" i="8"/>
  <c r="H259" i="8"/>
  <c r="J258" i="8"/>
  <c r="N258" i="8" s="1"/>
  <c r="I258" i="8"/>
  <c r="H258" i="8"/>
  <c r="J257" i="8"/>
  <c r="N257" i="8" s="1"/>
  <c r="I257" i="8"/>
  <c r="H257" i="8"/>
  <c r="J256" i="8"/>
  <c r="N256" i="8" s="1"/>
  <c r="I256" i="8"/>
  <c r="H256" i="8"/>
  <c r="J255" i="8"/>
  <c r="I255" i="8"/>
  <c r="H255" i="8"/>
  <c r="J254" i="8"/>
  <c r="I254" i="8"/>
  <c r="H254" i="8"/>
  <c r="J253" i="8"/>
  <c r="N253" i="8" s="1"/>
  <c r="I253" i="8"/>
  <c r="H253" i="8"/>
  <c r="J252" i="8"/>
  <c r="N252" i="8" s="1"/>
  <c r="I252" i="8"/>
  <c r="H252" i="8"/>
  <c r="J251" i="8"/>
  <c r="N251" i="8" s="1"/>
  <c r="I251" i="8"/>
  <c r="H251" i="8"/>
  <c r="J250" i="8"/>
  <c r="N250" i="8" s="1"/>
  <c r="I250" i="8"/>
  <c r="H250" i="8"/>
  <c r="J249" i="8"/>
  <c r="I249" i="8"/>
  <c r="H249" i="8"/>
  <c r="J248" i="8"/>
  <c r="I248" i="8"/>
  <c r="H248" i="8"/>
  <c r="J247" i="8"/>
  <c r="N247" i="8" s="1"/>
  <c r="I247" i="8"/>
  <c r="H247" i="8"/>
  <c r="J246" i="8"/>
  <c r="I246" i="8"/>
  <c r="H246" i="8"/>
  <c r="J245" i="8"/>
  <c r="N245" i="8" s="1"/>
  <c r="I245" i="8"/>
  <c r="H245" i="8"/>
  <c r="J244" i="8"/>
  <c r="I244" i="8"/>
  <c r="H244" i="8"/>
  <c r="J243" i="8"/>
  <c r="N243" i="8" s="1"/>
  <c r="I243" i="8"/>
  <c r="H243" i="8"/>
  <c r="J242" i="8"/>
  <c r="I242" i="8"/>
  <c r="H242" i="8"/>
  <c r="J241" i="8"/>
  <c r="N241" i="8" s="1"/>
  <c r="I241" i="8"/>
  <c r="H241" i="8"/>
  <c r="J240" i="8"/>
  <c r="I240" i="8"/>
  <c r="H240" i="8"/>
  <c r="J239" i="8"/>
  <c r="N239" i="8" s="1"/>
  <c r="I239" i="8"/>
  <c r="H239" i="8"/>
  <c r="J238" i="8"/>
  <c r="N238" i="8" s="1"/>
  <c r="I238" i="8"/>
  <c r="H238" i="8"/>
  <c r="J237" i="8"/>
  <c r="N237" i="8" s="1"/>
  <c r="I237" i="8"/>
  <c r="H237" i="8"/>
  <c r="J236" i="8"/>
  <c r="N236" i="8" s="1"/>
  <c r="I236" i="8"/>
  <c r="H236" i="8"/>
  <c r="J235" i="8"/>
  <c r="I235" i="8"/>
  <c r="H235" i="8"/>
  <c r="J234" i="8"/>
  <c r="I234" i="8"/>
  <c r="H234" i="8"/>
  <c r="J233" i="8"/>
  <c r="N233" i="8" s="1"/>
  <c r="I233" i="8"/>
  <c r="H233" i="8"/>
  <c r="J232" i="8"/>
  <c r="I232" i="8"/>
  <c r="H232" i="8"/>
  <c r="J231" i="8"/>
  <c r="N231" i="8" s="1"/>
  <c r="I231" i="8"/>
  <c r="H231" i="8"/>
  <c r="J230" i="8"/>
  <c r="I230" i="8"/>
  <c r="H230" i="8"/>
  <c r="J229" i="8"/>
  <c r="I229" i="8"/>
  <c r="H229" i="8"/>
  <c r="J228" i="8"/>
  <c r="I228" i="8"/>
  <c r="H228" i="8"/>
  <c r="J227" i="8"/>
  <c r="N227" i="8" s="1"/>
  <c r="I227" i="8"/>
  <c r="H227" i="8"/>
  <c r="J226" i="8"/>
  <c r="I226" i="8"/>
  <c r="H226" i="8"/>
  <c r="J225" i="8"/>
  <c r="N225" i="8" s="1"/>
  <c r="I225" i="8"/>
  <c r="H225" i="8"/>
  <c r="K224" i="8"/>
  <c r="J224" i="8" s="1"/>
  <c r="I224" i="8"/>
  <c r="H224" i="8"/>
  <c r="K223" i="8"/>
  <c r="J223" i="8" s="1"/>
  <c r="M223" i="8" s="1"/>
  <c r="I223" i="8"/>
  <c r="H223" i="8"/>
  <c r="J222" i="8"/>
  <c r="M222" i="8" s="1"/>
  <c r="I222" i="8"/>
  <c r="H222" i="8"/>
  <c r="J221" i="8"/>
  <c r="I221" i="8"/>
  <c r="H221" i="8"/>
  <c r="J220" i="8"/>
  <c r="M220" i="8" s="1"/>
  <c r="I220" i="8"/>
  <c r="H220" i="8"/>
  <c r="J219" i="8"/>
  <c r="N219" i="8" s="1"/>
  <c r="I219" i="8"/>
  <c r="H219" i="8"/>
  <c r="J218" i="8"/>
  <c r="M218" i="8" s="1"/>
  <c r="I218" i="8"/>
  <c r="H218" i="8"/>
  <c r="J217" i="8"/>
  <c r="I217" i="8"/>
  <c r="H217" i="8"/>
  <c r="J216" i="8"/>
  <c r="N216" i="8" s="1"/>
  <c r="I216" i="8"/>
  <c r="H216" i="8"/>
  <c r="J215" i="8"/>
  <c r="I215" i="8"/>
  <c r="H215" i="8"/>
  <c r="J214" i="8"/>
  <c r="I214" i="8"/>
  <c r="H214" i="8"/>
  <c r="J213" i="8"/>
  <c r="I213" i="8"/>
  <c r="H213" i="8"/>
  <c r="J212" i="8"/>
  <c r="M212" i="8" s="1"/>
  <c r="I212" i="8"/>
  <c r="H212" i="8"/>
  <c r="J211" i="8"/>
  <c r="I211" i="8"/>
  <c r="H211" i="8"/>
  <c r="J210" i="8"/>
  <c r="M210" i="8" s="1"/>
  <c r="I210" i="8"/>
  <c r="H210" i="8"/>
  <c r="J209" i="8"/>
  <c r="I209" i="8"/>
  <c r="H209" i="8"/>
  <c r="J208" i="8"/>
  <c r="N208" i="8" s="1"/>
  <c r="I208" i="8"/>
  <c r="H208" i="8"/>
  <c r="J207" i="8"/>
  <c r="I207" i="8"/>
  <c r="H207" i="8"/>
  <c r="J206" i="8"/>
  <c r="I206" i="8"/>
  <c r="H206" i="8"/>
  <c r="J205" i="8"/>
  <c r="I205" i="8"/>
  <c r="H205" i="8"/>
  <c r="J204" i="8"/>
  <c r="I204" i="8"/>
  <c r="H204" i="8"/>
  <c r="J203" i="8"/>
  <c r="I203" i="8"/>
  <c r="H203" i="8"/>
  <c r="J202" i="8"/>
  <c r="I202" i="8"/>
  <c r="H202" i="8"/>
  <c r="J201" i="8"/>
  <c r="I201" i="8"/>
  <c r="H201" i="8"/>
  <c r="J200" i="8"/>
  <c r="I200" i="8"/>
  <c r="H200" i="8"/>
  <c r="J199" i="8"/>
  <c r="I199" i="8"/>
  <c r="H199" i="8"/>
  <c r="J198" i="8"/>
  <c r="I198" i="8"/>
  <c r="H198" i="8"/>
  <c r="J197" i="8"/>
  <c r="I197" i="8"/>
  <c r="H197" i="8"/>
  <c r="J196" i="8"/>
  <c r="M196" i="8" s="1"/>
  <c r="I196" i="8"/>
  <c r="H196" i="8"/>
  <c r="J195" i="8"/>
  <c r="I195" i="8"/>
  <c r="H195" i="8"/>
  <c r="J194" i="8"/>
  <c r="N194" i="8" s="1"/>
  <c r="I194" i="8"/>
  <c r="H194" i="8"/>
  <c r="J193" i="8"/>
  <c r="I193" i="8"/>
  <c r="H193" i="8"/>
  <c r="J192" i="8"/>
  <c r="M192" i="8" s="1"/>
  <c r="I192" i="8"/>
  <c r="H192" i="8"/>
  <c r="J191" i="8"/>
  <c r="N191" i="8" s="1"/>
  <c r="I191" i="8"/>
  <c r="H191" i="8"/>
  <c r="J190" i="8"/>
  <c r="N190" i="8" s="1"/>
  <c r="I190" i="8"/>
  <c r="H190" i="8"/>
  <c r="J189" i="8"/>
  <c r="N189" i="8" s="1"/>
  <c r="I189" i="8"/>
  <c r="H189" i="8"/>
  <c r="J188" i="8"/>
  <c r="I188" i="8"/>
  <c r="H188" i="8"/>
  <c r="J187" i="8"/>
  <c r="N187" i="8" s="1"/>
  <c r="I187" i="8"/>
  <c r="H187" i="8"/>
  <c r="J186" i="8"/>
  <c r="N186" i="8" s="1"/>
  <c r="I186" i="8"/>
  <c r="H186" i="8"/>
  <c r="J185" i="8"/>
  <c r="M185" i="8" s="1"/>
  <c r="I185" i="8"/>
  <c r="H185" i="8"/>
  <c r="J184" i="8"/>
  <c r="M184" i="8" s="1"/>
  <c r="I184" i="8"/>
  <c r="H184" i="8"/>
  <c r="J183" i="8"/>
  <c r="L183" i="8" s="1"/>
  <c r="I183" i="8"/>
  <c r="H183" i="8"/>
  <c r="J182" i="8"/>
  <c r="M182" i="8" s="1"/>
  <c r="I182" i="8"/>
  <c r="H182" i="8"/>
  <c r="J181" i="8"/>
  <c r="M181" i="8" s="1"/>
  <c r="I181" i="8"/>
  <c r="H181" i="8"/>
  <c r="J180" i="8"/>
  <c r="I180" i="8"/>
  <c r="H180" i="8"/>
  <c r="J179" i="8"/>
  <c r="M179" i="8" s="1"/>
  <c r="I179" i="8"/>
  <c r="H179" i="8"/>
  <c r="J178" i="8"/>
  <c r="M178" i="8" s="1"/>
  <c r="I178" i="8"/>
  <c r="H178" i="8"/>
  <c r="J177" i="8"/>
  <c r="N177" i="8" s="1"/>
  <c r="I177" i="8"/>
  <c r="H177" i="8"/>
  <c r="J176" i="8"/>
  <c r="M176" i="8" s="1"/>
  <c r="I176" i="8"/>
  <c r="H176" i="8"/>
  <c r="J175" i="8"/>
  <c r="I175" i="8"/>
  <c r="H175" i="8"/>
  <c r="J174" i="8"/>
  <c r="M174" i="8" s="1"/>
  <c r="I174" i="8"/>
  <c r="H174" i="8"/>
  <c r="J173" i="8"/>
  <c r="M173" i="8" s="1"/>
  <c r="I173" i="8"/>
  <c r="H173" i="8"/>
  <c r="J172" i="8"/>
  <c r="M172" i="8" s="1"/>
  <c r="I172" i="8"/>
  <c r="H172" i="8"/>
  <c r="J171" i="8"/>
  <c r="I171" i="8"/>
  <c r="H171" i="8"/>
  <c r="J170" i="8"/>
  <c r="M170" i="8" s="1"/>
  <c r="I170" i="8"/>
  <c r="H170" i="8"/>
  <c r="J169" i="8"/>
  <c r="M169" i="8" s="1"/>
  <c r="I169" i="8"/>
  <c r="H169" i="8"/>
  <c r="J168" i="8"/>
  <c r="M168" i="8" s="1"/>
  <c r="I168" i="8"/>
  <c r="H168" i="8"/>
  <c r="J167" i="8"/>
  <c r="M167" i="8" s="1"/>
  <c r="I167" i="8"/>
  <c r="H167" i="8"/>
  <c r="J166" i="8"/>
  <c r="M166" i="8" s="1"/>
  <c r="I166" i="8"/>
  <c r="H166" i="8"/>
  <c r="J165" i="8"/>
  <c r="M165" i="8" s="1"/>
  <c r="I165" i="8"/>
  <c r="H165" i="8"/>
  <c r="J164" i="8"/>
  <c r="M164" i="8" s="1"/>
  <c r="I164" i="8"/>
  <c r="H164" i="8"/>
  <c r="J163" i="8"/>
  <c r="M163" i="8" s="1"/>
  <c r="I163" i="8"/>
  <c r="H163" i="8"/>
  <c r="J162" i="8"/>
  <c r="I162" i="8"/>
  <c r="H162" i="8"/>
  <c r="J161" i="8"/>
  <c r="M161" i="8" s="1"/>
  <c r="I161" i="8"/>
  <c r="H161" i="8"/>
  <c r="J160" i="8"/>
  <c r="I160" i="8"/>
  <c r="H160" i="8"/>
  <c r="J159" i="8"/>
  <c r="I159" i="8"/>
  <c r="H159" i="8"/>
  <c r="J158" i="8"/>
  <c r="M158" i="8" s="1"/>
  <c r="I158" i="8"/>
  <c r="H158" i="8"/>
  <c r="J157" i="8"/>
  <c r="M157" i="8" s="1"/>
  <c r="I157" i="8"/>
  <c r="H157" i="8"/>
  <c r="J156" i="8"/>
  <c r="N156" i="8" s="1"/>
  <c r="I156" i="8"/>
  <c r="H156" i="8"/>
  <c r="J155" i="8"/>
  <c r="I155" i="8"/>
  <c r="H155" i="8"/>
  <c r="J154" i="8"/>
  <c r="I154" i="8"/>
  <c r="H154" i="8"/>
  <c r="J153" i="8"/>
  <c r="N153" i="8" s="1"/>
  <c r="I153" i="8"/>
  <c r="H153" i="8"/>
  <c r="J152" i="8"/>
  <c r="I152" i="8"/>
  <c r="H152" i="8"/>
  <c r="J151" i="8"/>
  <c r="L151" i="8" s="1"/>
  <c r="I151" i="8"/>
  <c r="H151" i="8"/>
  <c r="J150" i="8"/>
  <c r="N150" i="8" s="1"/>
  <c r="I150" i="8"/>
  <c r="H150" i="8"/>
  <c r="J149" i="8"/>
  <c r="I149" i="8"/>
  <c r="H149" i="8"/>
  <c r="J148" i="8"/>
  <c r="M148" i="8" s="1"/>
  <c r="I148" i="8"/>
  <c r="H148" i="8"/>
  <c r="J147" i="8"/>
  <c r="I147" i="8"/>
  <c r="H147" i="8"/>
  <c r="J146" i="8"/>
  <c r="M146" i="8" s="1"/>
  <c r="I146" i="8"/>
  <c r="H146" i="8"/>
  <c r="K145" i="8"/>
  <c r="J145" i="8" s="1"/>
  <c r="N145" i="8" s="1"/>
  <c r="I145" i="8"/>
  <c r="H145" i="8"/>
  <c r="J144" i="8"/>
  <c r="N144" i="8" s="1"/>
  <c r="I144" i="8"/>
  <c r="H144" i="8"/>
  <c r="J143" i="8"/>
  <c r="N143" i="8" s="1"/>
  <c r="I143" i="8"/>
  <c r="H143" i="8"/>
  <c r="J142" i="8"/>
  <c r="N142" i="8" s="1"/>
  <c r="I142" i="8"/>
  <c r="H142" i="8"/>
  <c r="J141" i="8"/>
  <c r="N141" i="8" s="1"/>
  <c r="I141" i="8"/>
  <c r="H141" i="8"/>
  <c r="J140" i="8"/>
  <c r="N140" i="8" s="1"/>
  <c r="I140" i="8"/>
  <c r="H140" i="8"/>
  <c r="J139" i="8"/>
  <c r="I139" i="8"/>
  <c r="H139" i="8"/>
  <c r="J138" i="8"/>
  <c r="M138" i="8" s="1"/>
  <c r="I138" i="8"/>
  <c r="H138" i="8"/>
  <c r="J137" i="8"/>
  <c r="N137" i="8" s="1"/>
  <c r="I137" i="8"/>
  <c r="H137" i="8"/>
  <c r="J136" i="8"/>
  <c r="N136" i="8" s="1"/>
  <c r="I136" i="8"/>
  <c r="H136" i="8"/>
  <c r="J135" i="8"/>
  <c r="N135" i="8" s="1"/>
  <c r="I135" i="8"/>
  <c r="H135" i="8"/>
  <c r="J134" i="8"/>
  <c r="N134" i="8" s="1"/>
  <c r="I134" i="8"/>
  <c r="H134" i="8"/>
  <c r="J133" i="8"/>
  <c r="N133" i="8" s="1"/>
  <c r="I133" i="8"/>
  <c r="H133" i="8"/>
  <c r="J132" i="8"/>
  <c r="M132" i="8" s="1"/>
  <c r="I132" i="8"/>
  <c r="H132" i="8"/>
  <c r="J131" i="8"/>
  <c r="N131" i="8" s="1"/>
  <c r="I131" i="8"/>
  <c r="H131" i="8"/>
  <c r="J130" i="8"/>
  <c r="N130" i="8" s="1"/>
  <c r="I130" i="8"/>
  <c r="H130" i="8"/>
  <c r="J129" i="8"/>
  <c r="I129" i="8"/>
  <c r="H129" i="8"/>
  <c r="J128" i="8"/>
  <c r="I128" i="8"/>
  <c r="H128" i="8"/>
  <c r="J127" i="8"/>
  <c r="M127" i="8" s="1"/>
  <c r="I127" i="8"/>
  <c r="H127" i="8"/>
  <c r="J126" i="8"/>
  <c r="I126" i="8"/>
  <c r="H126" i="8"/>
  <c r="J125" i="8"/>
  <c r="N125" i="8" s="1"/>
  <c r="I125" i="8"/>
  <c r="H125" i="8"/>
  <c r="J124" i="8"/>
  <c r="N124" i="8" s="1"/>
  <c r="I124" i="8"/>
  <c r="H124" i="8"/>
  <c r="J123" i="8"/>
  <c r="I123" i="8"/>
  <c r="H123" i="8"/>
  <c r="J122" i="8"/>
  <c r="N122" i="8" s="1"/>
  <c r="I122" i="8"/>
  <c r="H122" i="8"/>
  <c r="J121" i="8"/>
  <c r="M121" i="8" s="1"/>
  <c r="I121" i="8"/>
  <c r="H121" i="8"/>
  <c r="J120" i="8"/>
  <c r="N120" i="8" s="1"/>
  <c r="I120" i="8"/>
  <c r="H120" i="8"/>
  <c r="J119" i="8"/>
  <c r="N119" i="8" s="1"/>
  <c r="I119" i="8"/>
  <c r="H119" i="8"/>
  <c r="J118" i="8"/>
  <c r="I118" i="8"/>
  <c r="H118" i="8"/>
  <c r="J117" i="8"/>
  <c r="I117" i="8"/>
  <c r="H117" i="8"/>
  <c r="J116" i="8"/>
  <c r="M116" i="8" s="1"/>
  <c r="I116" i="8"/>
  <c r="H116" i="8"/>
  <c r="J115" i="8"/>
  <c r="M115" i="8" s="1"/>
  <c r="I115" i="8"/>
  <c r="H115" i="8"/>
  <c r="J114" i="8"/>
  <c r="N114" i="8" s="1"/>
  <c r="I114" i="8"/>
  <c r="H114" i="8"/>
  <c r="J113" i="8"/>
  <c r="I113" i="8"/>
  <c r="H113" i="8"/>
  <c r="J112" i="8"/>
  <c r="N112" i="8" s="1"/>
  <c r="I112" i="8"/>
  <c r="H112" i="8"/>
  <c r="J111" i="8"/>
  <c r="N111" i="8" s="1"/>
  <c r="I111" i="8"/>
  <c r="H111" i="8"/>
  <c r="J110" i="8"/>
  <c r="I110" i="8"/>
  <c r="H110" i="8"/>
  <c r="J109" i="8"/>
  <c r="N109" i="8" s="1"/>
  <c r="I109" i="8"/>
  <c r="H109" i="8"/>
  <c r="J108" i="8"/>
  <c r="N108" i="8" s="1"/>
  <c r="I108" i="8"/>
  <c r="H108" i="8"/>
  <c r="J107" i="8"/>
  <c r="I107" i="8"/>
  <c r="H107" i="8"/>
  <c r="J106" i="8"/>
  <c r="N106" i="8" s="1"/>
  <c r="I106" i="8"/>
  <c r="H106" i="8"/>
  <c r="J105" i="8"/>
  <c r="N105" i="8" s="1"/>
  <c r="I105" i="8"/>
  <c r="H105" i="8"/>
  <c r="J104" i="8"/>
  <c r="I104" i="8"/>
  <c r="H104" i="8"/>
  <c r="J103" i="8"/>
  <c r="I103" i="8"/>
  <c r="H103" i="8"/>
  <c r="J102" i="8"/>
  <c r="N102" i="8" s="1"/>
  <c r="I102" i="8"/>
  <c r="H102" i="8"/>
  <c r="J101" i="8"/>
  <c r="I101" i="8"/>
  <c r="H101" i="8"/>
  <c r="J100" i="8"/>
  <c r="I100" i="8"/>
  <c r="H100" i="8"/>
  <c r="J99" i="8"/>
  <c r="N99" i="8" s="1"/>
  <c r="I99" i="8"/>
  <c r="H99" i="8"/>
  <c r="J98" i="8"/>
  <c r="N98" i="8" s="1"/>
  <c r="I98" i="8"/>
  <c r="H98" i="8"/>
  <c r="J97" i="8"/>
  <c r="N97" i="8" s="1"/>
  <c r="I97" i="8"/>
  <c r="H97" i="8"/>
  <c r="J96" i="8"/>
  <c r="I96" i="8"/>
  <c r="H96" i="8"/>
  <c r="J95" i="8"/>
  <c r="I95" i="8"/>
  <c r="H95" i="8"/>
  <c r="J94" i="8"/>
  <c r="N94" i="8" s="1"/>
  <c r="I94" i="8"/>
  <c r="H94" i="8"/>
  <c r="J93" i="8"/>
  <c r="N93" i="8" s="1"/>
  <c r="I93" i="8"/>
  <c r="H93" i="8"/>
  <c r="J92" i="8"/>
  <c r="N92" i="8" s="1"/>
  <c r="I92" i="8"/>
  <c r="H92" i="8"/>
  <c r="J91" i="8"/>
  <c r="I91" i="8"/>
  <c r="H91" i="8"/>
  <c r="J90" i="8"/>
  <c r="L90" i="8" s="1"/>
  <c r="I90" i="8"/>
  <c r="H90" i="8"/>
  <c r="J89" i="8"/>
  <c r="I89" i="8"/>
  <c r="H89" i="8"/>
  <c r="J88" i="8"/>
  <c r="I88" i="8"/>
  <c r="H88" i="8"/>
  <c r="J87" i="8"/>
  <c r="N87" i="8" s="1"/>
  <c r="I87" i="8"/>
  <c r="H87" i="8"/>
  <c r="J86" i="8"/>
  <c r="N86" i="8" s="1"/>
  <c r="I86" i="8"/>
  <c r="H86" i="8"/>
  <c r="J85" i="8"/>
  <c r="I85" i="8"/>
  <c r="H85" i="8"/>
  <c r="J84" i="8"/>
  <c r="N84" i="8" s="1"/>
  <c r="I84" i="8"/>
  <c r="H84" i="8"/>
  <c r="J83" i="8"/>
  <c r="M83" i="8" s="1"/>
  <c r="I83" i="8"/>
  <c r="H83" i="8"/>
  <c r="J82" i="8"/>
  <c r="M82" i="8" s="1"/>
  <c r="I82" i="8"/>
  <c r="H82" i="8"/>
  <c r="J81" i="8"/>
  <c r="N81" i="8" s="1"/>
  <c r="I81" i="8"/>
  <c r="H81" i="8"/>
  <c r="J80" i="8"/>
  <c r="I80" i="8"/>
  <c r="H80" i="8"/>
  <c r="J79" i="8"/>
  <c r="I79" i="8"/>
  <c r="H79" i="8"/>
  <c r="J78" i="8"/>
  <c r="N78" i="8" s="1"/>
  <c r="I78" i="8"/>
  <c r="H78" i="8"/>
  <c r="J77" i="8"/>
  <c r="I77" i="8"/>
  <c r="H77" i="8"/>
  <c r="J76" i="8"/>
  <c r="I76" i="8"/>
  <c r="H76" i="8"/>
  <c r="J75" i="8"/>
  <c r="N75" i="8" s="1"/>
  <c r="I75" i="8"/>
  <c r="H75" i="8"/>
  <c r="J74" i="8"/>
  <c r="I74" i="8"/>
  <c r="H74" i="8"/>
  <c r="J73" i="8"/>
  <c r="I73" i="8"/>
  <c r="H73" i="8"/>
  <c r="J72" i="8"/>
  <c r="N72" i="8" s="1"/>
  <c r="I72" i="8"/>
  <c r="H72" i="8"/>
  <c r="J71" i="8"/>
  <c r="N71" i="8" s="1"/>
  <c r="I71" i="8"/>
  <c r="H71" i="8"/>
  <c r="J70" i="8"/>
  <c r="I70" i="8"/>
  <c r="H70" i="8"/>
  <c r="J69" i="8"/>
  <c r="N69" i="8" s="1"/>
  <c r="I69" i="8"/>
  <c r="H69" i="8"/>
  <c r="J68" i="8"/>
  <c r="I68" i="8"/>
  <c r="H68" i="8"/>
  <c r="J67" i="8"/>
  <c r="I67" i="8"/>
  <c r="H67" i="8"/>
  <c r="J66" i="8"/>
  <c r="I66" i="8"/>
  <c r="H66" i="8"/>
  <c r="J65" i="8"/>
  <c r="I65" i="8"/>
  <c r="H65" i="8"/>
  <c r="J64" i="8"/>
  <c r="M64" i="8" s="1"/>
  <c r="I64" i="8"/>
  <c r="H64" i="8"/>
  <c r="J63" i="8"/>
  <c r="I63" i="8"/>
  <c r="H63" i="8"/>
  <c r="J62" i="8"/>
  <c r="N62" i="8" s="1"/>
  <c r="I62" i="8"/>
  <c r="H62" i="8"/>
  <c r="J61" i="8"/>
  <c r="I61" i="8"/>
  <c r="H61" i="8"/>
  <c r="J60" i="8"/>
  <c r="I60" i="8"/>
  <c r="H60" i="8"/>
  <c r="J59" i="8"/>
  <c r="N59" i="8" s="1"/>
  <c r="I59" i="8"/>
  <c r="H59" i="8"/>
  <c r="J58" i="8"/>
  <c r="M58" i="8" s="1"/>
  <c r="I58" i="8"/>
  <c r="H58" i="8"/>
  <c r="J57" i="8"/>
  <c r="I57" i="8"/>
  <c r="H57" i="8"/>
  <c r="J56" i="8"/>
  <c r="N56" i="8" s="1"/>
  <c r="I56" i="8"/>
  <c r="H56" i="8"/>
  <c r="J55" i="8"/>
  <c r="I55" i="8"/>
  <c r="H55" i="8"/>
  <c r="J54" i="8"/>
  <c r="I54" i="8"/>
  <c r="H54" i="8"/>
  <c r="J53" i="8"/>
  <c r="N53" i="8" s="1"/>
  <c r="I53" i="8"/>
  <c r="H53" i="8"/>
  <c r="J52" i="8"/>
  <c r="M52" i="8" s="1"/>
  <c r="I52" i="8"/>
  <c r="H52" i="8"/>
  <c r="J51" i="8"/>
  <c r="I51" i="8"/>
  <c r="H51" i="8"/>
  <c r="J50" i="8"/>
  <c r="M50" i="8" s="1"/>
  <c r="I50" i="8"/>
  <c r="H50" i="8"/>
  <c r="J49" i="8"/>
  <c r="I49" i="8"/>
  <c r="H49" i="8"/>
  <c r="J48" i="8"/>
  <c r="N48" i="8" s="1"/>
  <c r="I48" i="8"/>
  <c r="H48" i="8"/>
  <c r="J47" i="8"/>
  <c r="M47" i="8" s="1"/>
  <c r="I47" i="8"/>
  <c r="H47" i="8"/>
  <c r="J46" i="8"/>
  <c r="I46" i="8"/>
  <c r="H46" i="8"/>
  <c r="J45" i="8"/>
  <c r="I45" i="8"/>
  <c r="H45" i="8"/>
  <c r="J44" i="8"/>
  <c r="I44" i="8"/>
  <c r="H44" i="8"/>
  <c r="J43" i="8"/>
  <c r="N43" i="8" s="1"/>
  <c r="I43" i="8"/>
  <c r="H43" i="8"/>
  <c r="J42" i="8"/>
  <c r="I42" i="8"/>
  <c r="H42" i="8"/>
  <c r="J41" i="8"/>
  <c r="I41" i="8"/>
  <c r="H41" i="8"/>
  <c r="J40" i="8"/>
  <c r="N40" i="8" s="1"/>
  <c r="I40" i="8"/>
  <c r="H40" i="8"/>
  <c r="J39" i="8"/>
  <c r="I39" i="8"/>
  <c r="H39" i="8"/>
  <c r="J38" i="8"/>
  <c r="I38" i="8"/>
  <c r="H38" i="8"/>
  <c r="J37" i="8"/>
  <c r="N37" i="8" s="1"/>
  <c r="I37" i="8"/>
  <c r="H37" i="8"/>
  <c r="J36" i="8"/>
  <c r="I36" i="8"/>
  <c r="H36" i="8"/>
  <c r="J35" i="8"/>
  <c r="I35" i="8"/>
  <c r="H35" i="8"/>
  <c r="J34" i="8"/>
  <c r="I34" i="8"/>
  <c r="H34" i="8"/>
  <c r="J33" i="8"/>
  <c r="I33" i="8"/>
  <c r="H33" i="8"/>
  <c r="J32" i="8"/>
  <c r="I32" i="8"/>
  <c r="H32" i="8"/>
  <c r="J31" i="8"/>
  <c r="I31" i="8"/>
  <c r="H31" i="8"/>
  <c r="J30" i="8"/>
  <c r="I30" i="8"/>
  <c r="H30" i="8"/>
  <c r="J29" i="8"/>
  <c r="I29" i="8"/>
  <c r="H29" i="8"/>
  <c r="J28" i="8"/>
  <c r="I28" i="8"/>
  <c r="H28" i="8"/>
  <c r="J27" i="8"/>
  <c r="I27" i="8"/>
  <c r="H27" i="8"/>
  <c r="J26" i="8"/>
  <c r="I26" i="8"/>
  <c r="H26" i="8"/>
  <c r="J25" i="8"/>
  <c r="I25" i="8"/>
  <c r="H25" i="8"/>
  <c r="J24" i="8"/>
  <c r="I24" i="8"/>
  <c r="H24" i="8"/>
  <c r="J23" i="8"/>
  <c r="I23" i="8"/>
  <c r="H23" i="8"/>
  <c r="J22" i="8"/>
  <c r="I22" i="8"/>
  <c r="H22" i="8"/>
  <c r="J21" i="8"/>
  <c r="I21" i="8"/>
  <c r="H21" i="8"/>
  <c r="J20" i="8"/>
  <c r="I20" i="8"/>
  <c r="H20" i="8"/>
  <c r="J19" i="8"/>
  <c r="N19" i="8" s="1"/>
  <c r="I19" i="8"/>
  <c r="H19" i="8"/>
  <c r="J18" i="8"/>
  <c r="I18" i="8"/>
  <c r="H18" i="8"/>
  <c r="J17" i="8"/>
  <c r="I17" i="8"/>
  <c r="H17" i="8"/>
  <c r="J16" i="8"/>
  <c r="N16" i="8" s="1"/>
  <c r="I16" i="8"/>
  <c r="H16" i="8"/>
  <c r="J15" i="8"/>
  <c r="N15" i="8" s="1"/>
  <c r="I15" i="8"/>
  <c r="H15" i="8"/>
  <c r="J14" i="8"/>
  <c r="I14" i="8"/>
  <c r="H14" i="8"/>
  <c r="J13" i="8"/>
  <c r="I13" i="8"/>
  <c r="H13" i="8"/>
  <c r="J12" i="8"/>
  <c r="I12" i="8"/>
  <c r="H12" i="8"/>
  <c r="J11" i="8"/>
  <c r="I11" i="8"/>
  <c r="H11" i="8"/>
  <c r="J10" i="8"/>
  <c r="I10" i="8"/>
  <c r="H10" i="8"/>
  <c r="J9" i="8"/>
  <c r="I9" i="8"/>
  <c r="H9" i="8"/>
  <c r="J8" i="8"/>
  <c r="I8" i="8"/>
  <c r="H8" i="8"/>
  <c r="J7" i="8"/>
  <c r="I7" i="8"/>
  <c r="H7" i="8"/>
  <c r="N6" i="8"/>
  <c r="M6" i="8"/>
  <c r="L6" i="8"/>
  <c r="I6" i="8"/>
  <c r="H6" i="8"/>
  <c r="J5" i="8"/>
  <c r="I5" i="8"/>
  <c r="H5" i="8"/>
  <c r="D5" i="16" l="1" a="1"/>
  <c r="D5" i="16" s="1"/>
  <c r="B2" i="16" a="1"/>
  <c r="B2" i="16" s="1"/>
  <c r="D1" i="16" a="1"/>
  <c r="D1" i="16" s="1"/>
  <c r="B3" i="16" a="1"/>
  <c r="B3" i="16" s="1"/>
  <c r="D3" i="16" a="1"/>
  <c r="D3" i="16" s="1"/>
  <c r="B5" i="16" a="1"/>
  <c r="B5" i="16" s="1"/>
  <c r="A4" i="16" s="1"/>
  <c r="N132" i="8"/>
  <c r="N181" i="8"/>
  <c r="M311" i="8"/>
  <c r="L163" i="8"/>
  <c r="N163" i="8"/>
  <c r="N212" i="8"/>
  <c r="M332" i="8"/>
  <c r="L71" i="8"/>
  <c r="N301" i="8"/>
  <c r="M71" i="8"/>
  <c r="L132" i="8"/>
  <c r="L224" i="8"/>
  <c r="L197" i="8"/>
  <c r="L9" i="8"/>
  <c r="L18" i="8"/>
  <c r="L215" i="8"/>
  <c r="L219" i="8"/>
  <c r="L297" i="8"/>
  <c r="L317" i="8"/>
  <c r="L320" i="8"/>
  <c r="L346" i="8"/>
  <c r="L210" i="8"/>
  <c r="L339" i="8"/>
  <c r="N146" i="8"/>
  <c r="N197" i="8"/>
  <c r="L252" i="8"/>
  <c r="L287" i="8"/>
  <c r="L330" i="8"/>
  <c r="L270" i="8"/>
  <c r="L273" i="8"/>
  <c r="L16" i="8"/>
  <c r="M190" i="8"/>
  <c r="L262" i="8"/>
  <c r="M9" i="8"/>
  <c r="M81" i="8"/>
  <c r="L275" i="8"/>
  <c r="N9" i="8"/>
  <c r="N223" i="8"/>
  <c r="M260" i="8"/>
  <c r="N260" i="8"/>
  <c r="L178" i="8"/>
  <c r="L139" i="8"/>
  <c r="L212" i="8"/>
  <c r="L314" i="8"/>
  <c r="L15" i="8"/>
  <c r="P12" i="8"/>
  <c r="N12" i="8"/>
  <c r="L146" i="8"/>
  <c r="L190" i="8"/>
  <c r="L220" i="8"/>
  <c r="L207" i="8"/>
  <c r="L341" i="8"/>
  <c r="L254" i="8"/>
  <c r="L296" i="8"/>
  <c r="L299" i="8"/>
  <c r="L73" i="8"/>
  <c r="L79" i="8"/>
  <c r="N273" i="8"/>
  <c r="L279" i="8"/>
  <c r="L291" i="8"/>
  <c r="L216" i="8"/>
  <c r="L80" i="8"/>
  <c r="L124" i="8"/>
  <c r="N138" i="8"/>
  <c r="L309" i="8"/>
  <c r="L333" i="8"/>
  <c r="L14" i="8"/>
  <c r="L113" i="8"/>
  <c r="L162" i="8"/>
  <c r="L321" i="8"/>
  <c r="L235" i="8"/>
  <c r="L283" i="8"/>
  <c r="L303" i="8"/>
  <c r="L323" i="8"/>
  <c r="L329" i="8"/>
  <c r="L236" i="8"/>
  <c r="L76" i="8"/>
  <c r="L315" i="8"/>
  <c r="L284" i="8"/>
  <c r="L293" i="8"/>
  <c r="L327" i="8"/>
  <c r="L267" i="8"/>
  <c r="L345" i="8"/>
  <c r="L21" i="8"/>
  <c r="L211" i="8"/>
  <c r="L276" i="8"/>
  <c r="L302" i="8"/>
  <c r="L334" i="8"/>
  <c r="L335" i="8"/>
  <c r="L305" i="8"/>
  <c r="L311" i="8"/>
  <c r="L332" i="8"/>
  <c r="L338" i="8"/>
  <c r="L214" i="8"/>
  <c r="L221" i="8"/>
  <c r="P128" i="6"/>
  <c r="P41" i="6"/>
  <c r="P75" i="6"/>
  <c r="P98" i="6"/>
  <c r="P32" i="6"/>
  <c r="P115" i="6"/>
  <c r="P93" i="6"/>
  <c r="P69" i="6"/>
  <c r="P45" i="6"/>
  <c r="P127" i="6"/>
  <c r="P90" i="6"/>
  <c r="P64" i="6"/>
  <c r="P53" i="6"/>
  <c r="P44" i="6"/>
  <c r="P123" i="6"/>
  <c r="P70" i="6"/>
  <c r="P67" i="6"/>
  <c r="P35" i="6"/>
  <c r="P31" i="6"/>
  <c r="P28" i="6"/>
  <c r="P72" i="6"/>
  <c r="P40" i="6"/>
  <c r="P37" i="6"/>
  <c r="P33" i="6"/>
  <c r="P30" i="6"/>
  <c r="P27" i="6"/>
  <c r="P39" i="6"/>
  <c r="P36" i="6"/>
  <c r="P129" i="6"/>
  <c r="P118" i="6"/>
  <c r="P110" i="6"/>
  <c r="P96" i="6"/>
  <c r="P92" i="6"/>
  <c r="P95" i="6"/>
  <c r="P77" i="6"/>
  <c r="P131" i="6"/>
  <c r="P87" i="6"/>
  <c r="P82" i="6"/>
  <c r="P79" i="6"/>
  <c r="P25" i="6"/>
  <c r="P84" i="6"/>
  <c r="P91" i="6"/>
  <c r="P125" i="6"/>
  <c r="P119" i="6"/>
  <c r="P134" i="6"/>
  <c r="P34" i="6"/>
  <c r="P122" i="6"/>
  <c r="P66" i="6"/>
  <c r="P3" i="6"/>
  <c r="P85" i="6"/>
  <c r="P2" i="6"/>
  <c r="L295" i="8"/>
  <c r="P126" i="6"/>
  <c r="P81" i="6"/>
  <c r="P6" i="6"/>
  <c r="P7" i="6"/>
  <c r="P73" i="6"/>
  <c r="P50" i="6"/>
  <c r="P59" i="6"/>
  <c r="P78" i="6"/>
  <c r="P5" i="6"/>
  <c r="P4" i="6"/>
  <c r="P140" i="6"/>
  <c r="P142" i="6"/>
  <c r="P141" i="6"/>
  <c r="P89" i="6"/>
  <c r="P101" i="6"/>
  <c r="P102" i="6"/>
  <c r="P104" i="6"/>
  <c r="P113" i="6"/>
  <c r="P109" i="6"/>
  <c r="P108" i="6"/>
  <c r="P114" i="6"/>
  <c r="P38" i="6"/>
  <c r="P9" i="6"/>
  <c r="P8" i="6"/>
  <c r="P26" i="6"/>
  <c r="P18" i="6"/>
  <c r="P42" i="6"/>
  <c r="P29" i="6"/>
  <c r="P132" i="6"/>
  <c r="P107" i="6"/>
  <c r="P99" i="6"/>
  <c r="P116" i="6"/>
  <c r="P88" i="6"/>
  <c r="P80" i="6"/>
  <c r="P68" i="6"/>
  <c r="P48" i="6"/>
  <c r="P138" i="6"/>
  <c r="P136" i="6"/>
  <c r="P124" i="6"/>
  <c r="P121" i="6"/>
  <c r="P139" i="6"/>
  <c r="P133" i="6"/>
  <c r="P100" i="6"/>
  <c r="P97" i="6"/>
  <c r="P94" i="6"/>
  <c r="P83" i="6"/>
  <c r="P71" i="6"/>
  <c r="P54" i="6"/>
  <c r="P117" i="6"/>
  <c r="P112" i="6"/>
  <c r="P106" i="6"/>
  <c r="P22" i="6"/>
  <c r="P19" i="6"/>
  <c r="P16" i="6"/>
  <c r="P13" i="6"/>
  <c r="P10" i="6"/>
  <c r="P24" i="6"/>
  <c r="P21" i="6"/>
  <c r="P15" i="6"/>
  <c r="P12" i="6"/>
  <c r="P23" i="6"/>
  <c r="P20" i="6"/>
  <c r="P17" i="6"/>
  <c r="P14" i="6"/>
  <c r="P11" i="6"/>
  <c r="P120" i="6"/>
  <c r="P130" i="6"/>
  <c r="P76" i="6"/>
  <c r="P56" i="6"/>
  <c r="P49" i="6"/>
  <c r="P105" i="6"/>
  <c r="P62" i="6"/>
  <c r="P61" i="6"/>
  <c r="P58" i="6"/>
  <c r="P47" i="6"/>
  <c r="P63" i="6"/>
  <c r="P60" i="6"/>
  <c r="P55" i="6"/>
  <c r="P52" i="6"/>
  <c r="P46" i="6"/>
  <c r="P43" i="6"/>
  <c r="P65" i="6"/>
  <c r="P51" i="6"/>
  <c r="P137" i="6"/>
  <c r="P135" i="6"/>
  <c r="P111" i="6"/>
  <c r="P103" i="6"/>
  <c r="P86" i="6"/>
  <c r="P74" i="6"/>
  <c r="P57" i="6"/>
  <c r="N126" i="8"/>
  <c r="M126" i="8"/>
  <c r="L126" i="8"/>
  <c r="M137" i="8"/>
  <c r="N202" i="8"/>
  <c r="M202" i="8"/>
  <c r="L202" i="8"/>
  <c r="M24" i="8"/>
  <c r="N24" i="8"/>
  <c r="L24" i="8"/>
  <c r="N209" i="8"/>
  <c r="M209" i="8"/>
  <c r="L209" i="8"/>
  <c r="N286" i="8"/>
  <c r="M286" i="8"/>
  <c r="L286" i="8"/>
  <c r="L324" i="8"/>
  <c r="N324" i="8"/>
  <c r="P180" i="8"/>
  <c r="M213" i="8"/>
  <c r="N213" i="8"/>
  <c r="L213" i="8"/>
  <c r="L88" i="8"/>
  <c r="N88" i="8"/>
  <c r="N128" i="8"/>
  <c r="M128" i="8"/>
  <c r="L128" i="8"/>
  <c r="N174" i="8"/>
  <c r="L203" i="8"/>
  <c r="N203" i="8"/>
  <c r="M203" i="8"/>
  <c r="M88" i="8"/>
  <c r="M217" i="8"/>
  <c r="N217" i="8"/>
  <c r="P11" i="8"/>
  <c r="L81" i="8"/>
  <c r="M145" i="8"/>
  <c r="L181" i="8"/>
  <c r="M243" i="8"/>
  <c r="L298" i="8"/>
  <c r="M79" i="8"/>
  <c r="N148" i="8"/>
  <c r="M211" i="8"/>
  <c r="M221" i="8"/>
  <c r="M315" i="8"/>
  <c r="M329" i="8"/>
  <c r="M16" i="8"/>
  <c r="M92" i="8"/>
  <c r="M142" i="8"/>
  <c r="M197" i="8"/>
  <c r="N289" i="8"/>
  <c r="M310" i="8"/>
  <c r="M321" i="8"/>
  <c r="N329" i="8"/>
  <c r="M334" i="8"/>
  <c r="M270" i="8"/>
  <c r="N305" i="8"/>
  <c r="L263" i="8"/>
  <c r="N270" i="8"/>
  <c r="I13" i="28"/>
  <c r="J13" i="28" s="1"/>
  <c r="N5" i="8"/>
  <c r="M5" i="8"/>
  <c r="M18" i="8"/>
  <c r="M124" i="8"/>
  <c r="N161" i="8"/>
  <c r="L172" i="8"/>
  <c r="L195" i="8"/>
  <c r="M195" i="8"/>
  <c r="N18" i="8"/>
  <c r="L217" i="8"/>
  <c r="N115" i="8"/>
  <c r="L115" i="8"/>
  <c r="P183" i="8"/>
  <c r="N246" i="8"/>
  <c r="M246" i="8"/>
  <c r="M255" i="8"/>
  <c r="N255" i="8"/>
  <c r="N265" i="8"/>
  <c r="L265" i="8"/>
  <c r="L342" i="8"/>
  <c r="M342" i="8"/>
  <c r="N118" i="8"/>
  <c r="M118" i="8"/>
  <c r="L255" i="8"/>
  <c r="N77" i="8"/>
  <c r="L77" i="8"/>
  <c r="N159" i="8"/>
  <c r="M159" i="8"/>
  <c r="M77" i="8"/>
  <c r="L82" i="8"/>
  <c r="L135" i="8"/>
  <c r="L140" i="8"/>
  <c r="L222" i="8"/>
  <c r="P47" i="8"/>
  <c r="N82" i="8"/>
  <c r="M135" i="8"/>
  <c r="N222" i="8"/>
  <c r="N249" i="8"/>
  <c r="L249" i="8"/>
  <c r="P29" i="8"/>
  <c r="P55" i="8"/>
  <c r="M80" i="8"/>
  <c r="N85" i="8"/>
  <c r="M85" i="8"/>
  <c r="L85" i="8"/>
  <c r="N100" i="8"/>
  <c r="M100" i="8"/>
  <c r="P151" i="8"/>
  <c r="L154" i="8"/>
  <c r="M154" i="8"/>
  <c r="M261" i="8"/>
  <c r="N261" i="8"/>
  <c r="N90" i="8"/>
  <c r="M90" i="8"/>
  <c r="M119" i="8"/>
  <c r="M122" i="8"/>
  <c r="L122" i="8"/>
  <c r="M251" i="8"/>
  <c r="M279" i="8"/>
  <c r="L282" i="8"/>
  <c r="N282" i="8"/>
  <c r="M282" i="8"/>
  <c r="I17" i="28"/>
  <c r="J17" i="28" s="1"/>
  <c r="L12" i="8"/>
  <c r="P28" i="8"/>
  <c r="L149" i="8"/>
  <c r="N149" i="8"/>
  <c r="M149" i="8"/>
  <c r="M12" i="8"/>
  <c r="M207" i="8"/>
  <c r="L264" i="8"/>
  <c r="M264" i="8"/>
  <c r="N271" i="8"/>
  <c r="L271" i="8"/>
  <c r="M101" i="8"/>
  <c r="N101" i="8"/>
  <c r="L306" i="8"/>
  <c r="N306" i="8"/>
  <c r="N116" i="8"/>
  <c r="N323" i="8"/>
  <c r="M328" i="8"/>
  <c r="N330" i="8"/>
  <c r="N267" i="8"/>
  <c r="N291" i="8"/>
  <c r="M305" i="8"/>
  <c r="M341" i="8"/>
  <c r="M344" i="8"/>
  <c r="M346" i="8"/>
  <c r="L114" i="8"/>
  <c r="L116" i="8"/>
  <c r="N139" i="8"/>
  <c r="L157" i="8"/>
  <c r="L158" i="8"/>
  <c r="L165" i="8"/>
  <c r="N179" i="8"/>
  <c r="L192" i="8"/>
  <c r="N254" i="8"/>
  <c r="L19" i="8"/>
  <c r="M73" i="8"/>
  <c r="M114" i="8"/>
  <c r="L121" i="8"/>
  <c r="P129" i="8"/>
  <c r="N157" i="8"/>
  <c r="N158" i="8"/>
  <c r="N192" i="8"/>
  <c r="L277" i="8"/>
  <c r="N293" i="8"/>
  <c r="M323" i="8"/>
  <c r="L328" i="8"/>
  <c r="M330" i="8"/>
  <c r="M10" i="8"/>
  <c r="M23" i="8"/>
  <c r="L23" i="8"/>
  <c r="N23" i="8"/>
  <c r="P9" i="8"/>
  <c r="N17" i="8"/>
  <c r="L17" i="8"/>
  <c r="M21" i="8"/>
  <c r="N21" i="8"/>
  <c r="P37" i="8"/>
  <c r="P42" i="8"/>
  <c r="M65" i="8"/>
  <c r="N103" i="8"/>
  <c r="L103" i="8"/>
  <c r="N168" i="8"/>
  <c r="L205" i="8"/>
  <c r="M205" i="8"/>
  <c r="L218" i="8"/>
  <c r="N218" i="8"/>
  <c r="P50" i="8"/>
  <c r="P32" i="8"/>
  <c r="P65" i="8"/>
  <c r="L70" i="8"/>
  <c r="M70" i="8"/>
  <c r="P103" i="8"/>
  <c r="N147" i="8"/>
  <c r="M147" i="8"/>
  <c r="M171" i="8"/>
  <c r="N171" i="8"/>
  <c r="L171" i="8"/>
  <c r="M95" i="8"/>
  <c r="N95" i="8"/>
  <c r="L134" i="8"/>
  <c r="L147" i="8"/>
  <c r="L166" i="8"/>
  <c r="L187" i="8"/>
  <c r="N199" i="8"/>
  <c r="M199" i="8"/>
  <c r="L199" i="8"/>
  <c r="N244" i="8"/>
  <c r="M244" i="8"/>
  <c r="P40" i="8"/>
  <c r="M89" i="8"/>
  <c r="N89" i="8"/>
  <c r="L89" i="8"/>
  <c r="L95" i="8"/>
  <c r="L101" i="8"/>
  <c r="L127" i="8"/>
  <c r="N127" i="8"/>
  <c r="M139" i="8"/>
  <c r="N316" i="8"/>
  <c r="M316" i="8"/>
  <c r="L316" i="8"/>
  <c r="P106" i="8"/>
  <c r="P70" i="8"/>
  <c r="N107" i="8"/>
  <c r="M107" i="8"/>
  <c r="N162" i="8"/>
  <c r="M162" i="8"/>
  <c r="L22" i="8"/>
  <c r="P26" i="8"/>
  <c r="P99" i="8"/>
  <c r="P61" i="8"/>
  <c r="N68" i="8"/>
  <c r="M68" i="8"/>
  <c r="N104" i="8"/>
  <c r="M104" i="8"/>
  <c r="M110" i="8"/>
  <c r="L110" i="8"/>
  <c r="L123" i="8"/>
  <c r="M123" i="8"/>
  <c r="L198" i="8"/>
  <c r="M198" i="8"/>
  <c r="L20" i="8"/>
  <c r="M22" i="8"/>
  <c r="M76" i="8"/>
  <c r="L104" i="8"/>
  <c r="N110" i="8"/>
  <c r="L177" i="8"/>
  <c r="L184" i="8"/>
  <c r="N188" i="8"/>
  <c r="M188" i="8"/>
  <c r="L196" i="8"/>
  <c r="N196" i="8"/>
  <c r="L200" i="8"/>
  <c r="M200" i="8"/>
  <c r="L208" i="8"/>
  <c r="M208" i="8"/>
  <c r="P34" i="8"/>
  <c r="N20" i="8"/>
  <c r="N22" i="8"/>
  <c r="P64" i="8"/>
  <c r="P76" i="8"/>
  <c r="M96" i="8"/>
  <c r="L96" i="8"/>
  <c r="N117" i="8"/>
  <c r="M117" i="8"/>
  <c r="M160" i="8"/>
  <c r="L160" i="8"/>
  <c r="N74" i="8"/>
  <c r="L74" i="8"/>
  <c r="N96" i="8"/>
  <c r="M113" i="8"/>
  <c r="N152" i="8"/>
  <c r="M152" i="8"/>
  <c r="M175" i="8"/>
  <c r="L175" i="8"/>
  <c r="N180" i="8"/>
  <c r="M180" i="8"/>
  <c r="N204" i="8"/>
  <c r="M204" i="8"/>
  <c r="L204" i="8"/>
  <c r="L206" i="8"/>
  <c r="N206" i="8"/>
  <c r="P14" i="8"/>
  <c r="P58" i="8"/>
  <c r="P31" i="8"/>
  <c r="L67" i="8"/>
  <c r="M67" i="8"/>
  <c r="M74" i="8"/>
  <c r="N83" i="8"/>
  <c r="L83" i="8"/>
  <c r="N91" i="8"/>
  <c r="M91" i="8"/>
  <c r="M108" i="8"/>
  <c r="L152" i="8"/>
  <c r="P165" i="8"/>
  <c r="N170" i="8"/>
  <c r="N175" i="8"/>
  <c r="L180" i="8"/>
  <c r="M206" i="8"/>
  <c r="L237" i="8"/>
  <c r="N155" i="8"/>
  <c r="M155" i="8"/>
  <c r="L155" i="8"/>
  <c r="L201" i="8"/>
  <c r="N201" i="8"/>
  <c r="M201" i="8"/>
  <c r="L111" i="8"/>
  <c r="M143" i="8"/>
  <c r="L168" i="8"/>
  <c r="N173" i="8"/>
  <c r="L193" i="8"/>
  <c r="M193" i="8"/>
  <c r="M233" i="8"/>
  <c r="L233" i="8"/>
  <c r="N221" i="8"/>
  <c r="P179" i="8"/>
  <c r="N269" i="8"/>
  <c r="M269" i="8"/>
  <c r="L285" i="8"/>
  <c r="M285" i="8"/>
  <c r="N234" i="8"/>
  <c r="L234" i="8"/>
  <c r="P192" i="8"/>
  <c r="N176" i="8"/>
  <c r="P196" i="8"/>
  <c r="M215" i="8"/>
  <c r="N220" i="8"/>
  <c r="M280" i="8"/>
  <c r="M309" i="8"/>
  <c r="L340" i="8"/>
  <c r="M340" i="8"/>
  <c r="N215" i="8"/>
  <c r="L223" i="8"/>
  <c r="P30" i="8"/>
  <c r="N80" i="8"/>
  <c r="N121" i="8"/>
  <c r="M131" i="8"/>
  <c r="M140" i="8"/>
  <c r="P157" i="8"/>
  <c r="N151" i="8"/>
  <c r="L161" i="8"/>
  <c r="N165" i="8"/>
  <c r="N183" i="8"/>
  <c r="M189" i="8"/>
  <c r="M194" i="8"/>
  <c r="N211" i="8"/>
  <c r="M219" i="8"/>
  <c r="M238" i="8"/>
  <c r="N278" i="8"/>
  <c r="L278" i="8"/>
  <c r="L294" i="8"/>
  <c r="N294" i="8"/>
  <c r="L312" i="8"/>
  <c r="N312" i="8"/>
  <c r="M312" i="8"/>
  <c r="M254" i="8"/>
  <c r="L281" i="8"/>
  <c r="N281" i="8"/>
  <c r="M281" i="8"/>
  <c r="M265" i="8"/>
  <c r="N277" i="8"/>
  <c r="M298" i="8"/>
  <c r="N303" i="8"/>
  <c r="N334" i="8"/>
  <c r="M297" i="8"/>
  <c r="N319" i="8"/>
  <c r="L344" i="8"/>
  <c r="M345" i="8"/>
  <c r="M271" i="8"/>
  <c r="P5" i="8"/>
  <c r="L5" i="8"/>
  <c r="I16" i="28"/>
  <c r="J16" i="28" s="1"/>
  <c r="N7" i="8"/>
  <c r="M7" i="8"/>
  <c r="L7" i="8"/>
  <c r="P7" i="8"/>
  <c r="N10" i="8"/>
  <c r="L10" i="8"/>
  <c r="I14" i="28"/>
  <c r="J14" i="28" s="1"/>
  <c r="P8" i="8"/>
  <c r="M8" i="8"/>
  <c r="P10" i="8"/>
  <c r="L8" i="8"/>
  <c r="N8" i="8"/>
  <c r="N11" i="8"/>
  <c r="L11" i="8"/>
  <c r="M11" i="8"/>
  <c r="M25" i="8"/>
  <c r="L25" i="8"/>
  <c r="N25" i="8"/>
  <c r="P36" i="8"/>
  <c r="I12" i="28"/>
  <c r="J12" i="28" s="1"/>
  <c r="P193" i="8"/>
  <c r="P247" i="8"/>
  <c r="P260" i="8"/>
  <c r="P256" i="8"/>
  <c r="P273" i="8"/>
  <c r="P191" i="8"/>
  <c r="P189" i="8"/>
  <c r="P93" i="8"/>
  <c r="P101" i="8"/>
  <c r="P74" i="8"/>
  <c r="P63" i="8"/>
  <c r="N63" i="8"/>
  <c r="P85" i="8"/>
  <c r="M63" i="8"/>
  <c r="P110" i="8"/>
  <c r="L63" i="8"/>
  <c r="P233" i="8"/>
  <c r="P25" i="8"/>
  <c r="N30" i="8"/>
  <c r="M30" i="8"/>
  <c r="L30" i="8"/>
  <c r="M39" i="8"/>
  <c r="L39" i="8"/>
  <c r="N39" i="8"/>
  <c r="N44" i="8"/>
  <c r="M44" i="8"/>
  <c r="L44" i="8"/>
  <c r="P52" i="8"/>
  <c r="N34" i="8"/>
  <c r="M34" i="8"/>
  <c r="L34" i="8"/>
  <c r="P39" i="8"/>
  <c r="P45" i="8"/>
  <c r="N46" i="8"/>
  <c r="M46" i="8"/>
  <c r="L46" i="8"/>
  <c r="M28" i="8"/>
  <c r="L28" i="8"/>
  <c r="N28" i="8"/>
  <c r="M42" i="8"/>
  <c r="L42" i="8"/>
  <c r="N42" i="8"/>
  <c r="N49" i="8"/>
  <c r="M49" i="8"/>
  <c r="L49" i="8"/>
  <c r="I2" i="28"/>
  <c r="J2" i="28" s="1"/>
  <c r="N13" i="8"/>
  <c r="M13" i="8"/>
  <c r="P15" i="8"/>
  <c r="P51" i="8"/>
  <c r="P35" i="8"/>
  <c r="P13" i="8"/>
  <c r="I23" i="28"/>
  <c r="J23" i="28" s="1"/>
  <c r="P338" i="8"/>
  <c r="P279" i="8"/>
  <c r="P333" i="8"/>
  <c r="P336" i="8"/>
  <c r="P330" i="8"/>
  <c r="P341" i="8"/>
  <c r="P210" i="8"/>
  <c r="P197" i="8"/>
  <c r="P119" i="8"/>
  <c r="P224" i="8"/>
  <c r="P176" i="8"/>
  <c r="P96" i="8"/>
  <c r="P104" i="8"/>
  <c r="P77" i="8"/>
  <c r="P138" i="8"/>
  <c r="P127" i="8"/>
  <c r="P141" i="8"/>
  <c r="P182" i="8"/>
  <c r="P66" i="8"/>
  <c r="P185" i="8"/>
  <c r="N66" i="8"/>
  <c r="M66" i="8"/>
  <c r="P88" i="8"/>
  <c r="L66" i="8"/>
  <c r="P154" i="8"/>
  <c r="P113" i="8"/>
  <c r="P215" i="8"/>
  <c r="P168" i="8"/>
  <c r="L13" i="8"/>
  <c r="P170" i="8"/>
  <c r="P62" i="8"/>
  <c r="N26" i="8"/>
  <c r="P84" i="8"/>
  <c r="M26" i="8"/>
  <c r="L26" i="8"/>
  <c r="P22" i="8"/>
  <c r="P18" i="8"/>
  <c r="P92" i="8"/>
  <c r="P100" i="8"/>
  <c r="P73" i="8"/>
  <c r="I22" i="28"/>
  <c r="J22" i="28" s="1"/>
  <c r="P205" i="8"/>
  <c r="P89" i="8"/>
  <c r="P240" i="8"/>
  <c r="P202" i="8"/>
  <c r="P181" i="8"/>
  <c r="M31" i="8"/>
  <c r="L31" i="8"/>
  <c r="P155" i="8"/>
  <c r="P124" i="8"/>
  <c r="P114" i="8"/>
  <c r="P169" i="8"/>
  <c r="P133" i="8"/>
  <c r="P105" i="8"/>
  <c r="P97" i="8"/>
  <c r="P78" i="8"/>
  <c r="P49" i="8"/>
  <c r="P243" i="8"/>
  <c r="P175" i="8"/>
  <c r="P67" i="8"/>
  <c r="P116" i="8"/>
  <c r="N31" i="8"/>
  <c r="N35" i="8"/>
  <c r="M35" i="8"/>
  <c r="L35" i="8"/>
  <c r="I9" i="28"/>
  <c r="J9" i="28" s="1"/>
  <c r="P312" i="8"/>
  <c r="P282" i="8"/>
  <c r="P290" i="8"/>
  <c r="P300" i="8"/>
  <c r="P295" i="8"/>
  <c r="P308" i="8"/>
  <c r="P316" i="8"/>
  <c r="P286" i="8"/>
  <c r="P319" i="8"/>
  <c r="P324" i="8"/>
  <c r="P163" i="8"/>
  <c r="P149" i="8"/>
  <c r="P171" i="8"/>
  <c r="P56" i="8"/>
  <c r="N29" i="8"/>
  <c r="P117" i="8"/>
  <c r="M29" i="8"/>
  <c r="P177" i="8"/>
  <c r="L29" i="8"/>
  <c r="P41" i="8"/>
  <c r="P125" i="8"/>
  <c r="P134" i="8"/>
  <c r="N51" i="8"/>
  <c r="M51" i="8"/>
  <c r="L51" i="8"/>
  <c r="I3" i="28"/>
  <c r="J3" i="28" s="1"/>
  <c r="P271" i="8"/>
  <c r="P315" i="8"/>
  <c r="P285" i="8"/>
  <c r="P323" i="8"/>
  <c r="P281" i="8"/>
  <c r="P195" i="8"/>
  <c r="P145" i="8"/>
  <c r="P79" i="8"/>
  <c r="P68" i="8"/>
  <c r="P53" i="8"/>
  <c r="N14" i="8"/>
  <c r="P186" i="8"/>
  <c r="P120" i="8"/>
  <c r="M14" i="8"/>
  <c r="P16" i="8"/>
  <c r="P142" i="8"/>
  <c r="P160" i="8"/>
  <c r="M33" i="8"/>
  <c r="L33" i="8"/>
  <c r="N33" i="8"/>
  <c r="N38" i="8"/>
  <c r="M38" i="8"/>
  <c r="L38" i="8"/>
  <c r="P43" i="8"/>
  <c r="I5" i="28"/>
  <c r="J5" i="28" s="1"/>
  <c r="P331" i="8"/>
  <c r="P334" i="8"/>
  <c r="P218" i="8"/>
  <c r="P211" i="8"/>
  <c r="P231" i="8"/>
  <c r="P221" i="8"/>
  <c r="P206" i="8"/>
  <c r="P143" i="8"/>
  <c r="P226" i="8"/>
  <c r="P161" i="8"/>
  <c r="P80" i="8"/>
  <c r="P244" i="8"/>
  <c r="P69" i="8"/>
  <c r="P54" i="8"/>
  <c r="P146" i="8"/>
  <c r="N54" i="8"/>
  <c r="M54" i="8"/>
  <c r="P121" i="8"/>
  <c r="L54" i="8"/>
  <c r="P187" i="8"/>
  <c r="P48" i="8"/>
  <c r="P57" i="8"/>
  <c r="P38" i="8"/>
  <c r="N27" i="8"/>
  <c r="M27" i="8"/>
  <c r="L27" i="8"/>
  <c r="P33" i="8"/>
  <c r="N57" i="8"/>
  <c r="M57" i="8"/>
  <c r="L57" i="8"/>
  <c r="P23" i="8"/>
  <c r="P27" i="8"/>
  <c r="I24" i="28"/>
  <c r="J24" i="28" s="1"/>
  <c r="P266" i="8"/>
  <c r="P280" i="8"/>
  <c r="P270" i="8"/>
  <c r="P198" i="8"/>
  <c r="P59" i="8"/>
  <c r="N32" i="8"/>
  <c r="M32" i="8"/>
  <c r="L32" i="8"/>
  <c r="P44" i="8"/>
  <c r="P115" i="8"/>
  <c r="P123" i="8"/>
  <c r="M36" i="8"/>
  <c r="L36" i="8"/>
  <c r="N36" i="8"/>
  <c r="N41" i="8"/>
  <c r="M41" i="8"/>
  <c r="L41" i="8"/>
  <c r="I4" i="28"/>
  <c r="J4" i="28" s="1"/>
  <c r="P98" i="8"/>
  <c r="P71" i="8"/>
  <c r="P60" i="8"/>
  <c r="P82" i="8"/>
  <c r="N60" i="8"/>
  <c r="P128" i="8"/>
  <c r="P107" i="8"/>
  <c r="M60" i="8"/>
  <c r="L60" i="8"/>
  <c r="P90" i="8"/>
  <c r="I8" i="28"/>
  <c r="J8" i="28" s="1"/>
  <c r="P317" i="8"/>
  <c r="P287" i="8"/>
  <c r="P325" i="8"/>
  <c r="P320" i="8"/>
  <c r="P252" i="8"/>
  <c r="P249" i="8"/>
  <c r="P150" i="8"/>
  <c r="P261" i="8"/>
  <c r="P250" i="8"/>
  <c r="P232" i="8"/>
  <c r="P301" i="8"/>
  <c r="P251" i="8"/>
  <c r="P19" i="8"/>
  <c r="N47" i="8"/>
  <c r="N50" i="8"/>
  <c r="N52" i="8"/>
  <c r="N55" i="8"/>
  <c r="N58" i="8"/>
  <c r="N61" i="8"/>
  <c r="N64" i="8"/>
  <c r="N67" i="8"/>
  <c r="N70" i="8"/>
  <c r="N73" i="8"/>
  <c r="N76" i="8"/>
  <c r="N79" i="8"/>
  <c r="L92" i="8"/>
  <c r="L100" i="8"/>
  <c r="M103" i="8"/>
  <c r="L107" i="8"/>
  <c r="N113" i="8"/>
  <c r="L118" i="8"/>
  <c r="N123" i="8"/>
  <c r="P126" i="8"/>
  <c r="L131" i="8"/>
  <c r="M134" i="8"/>
  <c r="P137" i="8"/>
  <c r="L142" i="8"/>
  <c r="P147" i="8"/>
  <c r="M151" i="8"/>
  <c r="N154" i="8"/>
  <c r="L159" i="8"/>
  <c r="N160" i="8"/>
  <c r="L170" i="8"/>
  <c r="P173" i="8"/>
  <c r="N178" i="8"/>
  <c r="M183" i="8"/>
  <c r="M187" i="8"/>
  <c r="N195" i="8"/>
  <c r="N210" i="8"/>
  <c r="M216" i="8"/>
  <c r="P178" i="8"/>
  <c r="L69" i="8"/>
  <c r="L72" i="8"/>
  <c r="L75" i="8"/>
  <c r="L78" i="8"/>
  <c r="P95" i="8"/>
  <c r="L105" i="8"/>
  <c r="L112" i="8"/>
  <c r="L125" i="8"/>
  <c r="P131" i="8"/>
  <c r="L136" i="8"/>
  <c r="L156" i="8"/>
  <c r="L167" i="8"/>
  <c r="L185" i="8"/>
  <c r="M225" i="8"/>
  <c r="L225" i="8"/>
  <c r="M69" i="8"/>
  <c r="M72" i="8"/>
  <c r="M75" i="8"/>
  <c r="M78" i="8"/>
  <c r="L87" i="8"/>
  <c r="L97" i="8"/>
  <c r="L102" i="8"/>
  <c r="M105" i="8"/>
  <c r="L109" i="8"/>
  <c r="M112" i="8"/>
  <c r="P118" i="8"/>
  <c r="M125" i="8"/>
  <c r="L133" i="8"/>
  <c r="M136" i="8"/>
  <c r="L144" i="8"/>
  <c r="L153" i="8"/>
  <c r="M156" i="8"/>
  <c r="N167" i="8"/>
  <c r="N185" i="8"/>
  <c r="N248" i="8"/>
  <c r="M248" i="8"/>
  <c r="L248" i="8"/>
  <c r="I6" i="28"/>
  <c r="J6" i="28" s="1"/>
  <c r="I25" i="28"/>
  <c r="J25" i="28" s="1"/>
  <c r="P299" i="8"/>
  <c r="P307" i="8"/>
  <c r="P328" i="8"/>
  <c r="P314" i="8"/>
  <c r="P294" i="8"/>
  <c r="P156" i="8"/>
  <c r="P275" i="8"/>
  <c r="P81" i="8"/>
  <c r="L84" i="8"/>
  <c r="M87" i="8"/>
  <c r="L94" i="8"/>
  <c r="M97" i="8"/>
  <c r="L99" i="8"/>
  <c r="M102" i="8"/>
  <c r="L106" i="8"/>
  <c r="M109" i="8"/>
  <c r="L120" i="8"/>
  <c r="L130" i="8"/>
  <c r="M133" i="8"/>
  <c r="P139" i="8"/>
  <c r="L141" i="8"/>
  <c r="M144" i="8"/>
  <c r="P159" i="8"/>
  <c r="P158" i="8"/>
  <c r="P148" i="8"/>
  <c r="L150" i="8"/>
  <c r="M153" i="8"/>
  <c r="P162" i="8"/>
  <c r="L164" i="8"/>
  <c r="P167" i="8"/>
  <c r="N172" i="8"/>
  <c r="M177" i="8"/>
  <c r="L182" i="8"/>
  <c r="L186" i="8"/>
  <c r="P190" i="8"/>
  <c r="L191" i="8"/>
  <c r="N193" i="8"/>
  <c r="N200" i="8"/>
  <c r="N207" i="8"/>
  <c r="P212" i="8"/>
  <c r="M214" i="8"/>
  <c r="P225" i="8"/>
  <c r="I15" i="28"/>
  <c r="J15" i="28" s="1"/>
  <c r="P46" i="8"/>
  <c r="I21" i="28"/>
  <c r="J21" i="28" s="1"/>
  <c r="P327" i="8"/>
  <c r="P322" i="8"/>
  <c r="P269" i="8"/>
  <c r="P318" i="8"/>
  <c r="P313" i="8"/>
  <c r="P278" i="8"/>
  <c r="P303" i="8"/>
  <c r="P265" i="8"/>
  <c r="P237" i="8"/>
  <c r="P153" i="8"/>
  <c r="P311" i="8"/>
  <c r="P284" i="8"/>
  <c r="P259" i="8"/>
  <c r="P253" i="8"/>
  <c r="P306" i="8"/>
  <c r="P236" i="8"/>
  <c r="P235" i="8"/>
  <c r="P204" i="8"/>
  <c r="P72" i="8"/>
  <c r="P75" i="8"/>
  <c r="M84" i="8"/>
  <c r="L91" i="8"/>
  <c r="M94" i="8"/>
  <c r="M99" i="8"/>
  <c r="M106" i="8"/>
  <c r="P112" i="8"/>
  <c r="L117" i="8"/>
  <c r="M120" i="8"/>
  <c r="M130" i="8"/>
  <c r="P136" i="8"/>
  <c r="L138" i="8"/>
  <c r="M141" i="8"/>
  <c r="L148" i="8"/>
  <c r="M150" i="8"/>
  <c r="N164" i="8"/>
  <c r="L169" i="8"/>
  <c r="P172" i="8"/>
  <c r="L174" i="8"/>
  <c r="N182" i="8"/>
  <c r="M186" i="8"/>
  <c r="M191" i="8"/>
  <c r="N214" i="8"/>
  <c r="N228" i="8"/>
  <c r="M228" i="8"/>
  <c r="N229" i="8"/>
  <c r="M229" i="8"/>
  <c r="L229" i="8"/>
  <c r="N232" i="8"/>
  <c r="M232" i="8"/>
  <c r="M15" i="8"/>
  <c r="M17" i="8"/>
  <c r="M20" i="8"/>
  <c r="L37" i="8"/>
  <c r="L40" i="8"/>
  <c r="L43" i="8"/>
  <c r="L45" i="8"/>
  <c r="L48" i="8"/>
  <c r="L53" i="8"/>
  <c r="L56" i="8"/>
  <c r="L59" i="8"/>
  <c r="L62" i="8"/>
  <c r="L65" i="8"/>
  <c r="L68" i="8"/>
  <c r="P87" i="8"/>
  <c r="P94" i="8"/>
  <c r="P102" i="8"/>
  <c r="P109" i="8"/>
  <c r="P144" i="8"/>
  <c r="L145" i="8"/>
  <c r="P164" i="8"/>
  <c r="N169" i="8"/>
  <c r="L179" i="8"/>
  <c r="L188" i="8"/>
  <c r="L189" i="8"/>
  <c r="L228" i="8"/>
  <c r="L232" i="8"/>
  <c r="M37" i="8"/>
  <c r="M40" i="8"/>
  <c r="M43" i="8"/>
  <c r="M45" i="8"/>
  <c r="M48" i="8"/>
  <c r="M53" i="8"/>
  <c r="M56" i="8"/>
  <c r="M59" i="8"/>
  <c r="M62" i="8"/>
  <c r="P91" i="8"/>
  <c r="P220" i="8"/>
  <c r="P216" i="8"/>
  <c r="P229" i="8"/>
  <c r="P217" i="8"/>
  <c r="P130" i="8"/>
  <c r="P203" i="8"/>
  <c r="N224" i="8"/>
  <c r="M224" i="8"/>
  <c r="M227" i="8"/>
  <c r="L227" i="8"/>
  <c r="P228" i="8"/>
  <c r="N240" i="8"/>
  <c r="M240" i="8"/>
  <c r="L240" i="8"/>
  <c r="P246" i="8"/>
  <c r="P17" i="8"/>
  <c r="I19" i="28"/>
  <c r="J19" i="28" s="1"/>
  <c r="P20" i="8"/>
  <c r="P21" i="8"/>
  <c r="P24" i="8"/>
  <c r="N45" i="8"/>
  <c r="N65" i="8"/>
  <c r="L86" i="8"/>
  <c r="L93" i="8"/>
  <c r="L98" i="8"/>
  <c r="L108" i="8"/>
  <c r="M111" i="8"/>
  <c r="L119" i="8"/>
  <c r="L129" i="8"/>
  <c r="L143" i="8"/>
  <c r="N166" i="8"/>
  <c r="P174" i="8"/>
  <c r="L176" i="8"/>
  <c r="N184" i="8"/>
  <c r="N198" i="8"/>
  <c r="N205" i="8"/>
  <c r="N226" i="8"/>
  <c r="M226" i="8"/>
  <c r="L226" i="8"/>
  <c r="I10" i="28"/>
  <c r="J10" i="28" s="1"/>
  <c r="P309" i="8"/>
  <c r="P304" i="8"/>
  <c r="P326" i="8"/>
  <c r="P321" i="8"/>
  <c r="P291" i="8"/>
  <c r="P296" i="8"/>
  <c r="P207" i="8"/>
  <c r="P241" i="8"/>
  <c r="P219" i="8"/>
  <c r="P288" i="8"/>
  <c r="P222" i="8"/>
  <c r="P254" i="8"/>
  <c r="I7" i="28"/>
  <c r="J7" i="28" s="1"/>
  <c r="P83" i="8"/>
  <c r="I20" i="28"/>
  <c r="J20" i="28" s="1"/>
  <c r="P268" i="8"/>
  <c r="P342" i="8"/>
  <c r="P274" i="8"/>
  <c r="P277" i="8"/>
  <c r="P264" i="8"/>
  <c r="P293" i="8"/>
  <c r="P337" i="8"/>
  <c r="P332" i="8"/>
  <c r="P298" i="8"/>
  <c r="P340" i="8"/>
  <c r="P283" i="8"/>
  <c r="P214" i="8"/>
  <c r="P200" i="8"/>
  <c r="P239" i="8"/>
  <c r="P289" i="8"/>
  <c r="P234" i="8"/>
  <c r="P223" i="8"/>
  <c r="P86" i="8"/>
  <c r="P248" i="8"/>
  <c r="P242" i="8"/>
  <c r="P329" i="8"/>
  <c r="P209" i="8"/>
  <c r="P335" i="8"/>
  <c r="M86" i="8"/>
  <c r="M93" i="8"/>
  <c r="M98" i="8"/>
  <c r="P111" i="8"/>
  <c r="M129" i="8"/>
  <c r="P135" i="8"/>
  <c r="P166" i="8"/>
  <c r="P184" i="8"/>
  <c r="P188" i="8"/>
  <c r="P227" i="8"/>
  <c r="N230" i="8"/>
  <c r="M230" i="8"/>
  <c r="N242" i="8"/>
  <c r="M242" i="8"/>
  <c r="L242" i="8"/>
  <c r="M19" i="8"/>
  <c r="L47" i="8"/>
  <c r="L50" i="8"/>
  <c r="L52" i="8"/>
  <c r="L55" i="8"/>
  <c r="L58" i="8"/>
  <c r="L61" i="8"/>
  <c r="L64" i="8"/>
  <c r="P108" i="8"/>
  <c r="P122" i="8"/>
  <c r="N129" i="8"/>
  <c r="P132" i="8"/>
  <c r="L137" i="8"/>
  <c r="I18" i="28"/>
  <c r="J18" i="28" s="1"/>
  <c r="P343" i="8"/>
  <c r="P346" i="8"/>
  <c r="P344" i="8"/>
  <c r="P345" i="8"/>
  <c r="P199" i="8"/>
  <c r="P152" i="8"/>
  <c r="L173" i="8"/>
  <c r="I11" i="28"/>
  <c r="J11" i="28" s="1"/>
  <c r="P292" i="8"/>
  <c r="P302" i="8"/>
  <c r="P310" i="8"/>
  <c r="P297" i="8"/>
  <c r="P305" i="8"/>
  <c r="P272" i="8"/>
  <c r="P267" i="8"/>
  <c r="P255" i="8"/>
  <c r="P245" i="8"/>
  <c r="P276" i="8"/>
  <c r="P258" i="8"/>
  <c r="P257" i="8"/>
  <c r="P263" i="8"/>
  <c r="P213" i="8"/>
  <c r="P194" i="8"/>
  <c r="L230" i="8"/>
  <c r="N235" i="8"/>
  <c r="M235" i="8"/>
  <c r="M55" i="8"/>
  <c r="M61" i="8"/>
  <c r="P140" i="8"/>
  <c r="P201" i="8"/>
  <c r="P208" i="8"/>
  <c r="P230" i="8"/>
  <c r="P238" i="8"/>
  <c r="L288" i="8"/>
  <c r="N288" i="8"/>
  <c r="M288" i="8"/>
  <c r="N331" i="8"/>
  <c r="M331" i="8"/>
  <c r="M236" i="8"/>
  <c r="L250" i="8"/>
  <c r="L253" i="8"/>
  <c r="L256" i="8"/>
  <c r="L257" i="8"/>
  <c r="L258" i="8"/>
  <c r="L259" i="8"/>
  <c r="L260" i="8"/>
  <c r="L261" i="8"/>
  <c r="L331" i="8"/>
  <c r="L194" i="8"/>
  <c r="M250" i="8"/>
  <c r="M253" i="8"/>
  <c r="M256" i="8"/>
  <c r="M257" i="8"/>
  <c r="M258" i="8"/>
  <c r="M259" i="8"/>
  <c r="N313" i="8"/>
  <c r="M313" i="8"/>
  <c r="L231" i="8"/>
  <c r="M267" i="8"/>
  <c r="M291" i="8"/>
  <c r="L313" i="8"/>
  <c r="L318" i="8"/>
  <c r="N318" i="8"/>
  <c r="M318" i="8"/>
  <c r="M231" i="8"/>
  <c r="M234" i="8"/>
  <c r="M237" i="8"/>
  <c r="L239" i="8"/>
  <c r="L241" i="8"/>
  <c r="L245" i="8"/>
  <c r="L247" i="8"/>
  <c r="M239" i="8"/>
  <c r="M241" i="8"/>
  <c r="M245" i="8"/>
  <c r="M247" i="8"/>
  <c r="M249" i="8"/>
  <c r="M252" i="8"/>
  <c r="M278" i="8"/>
  <c r="N295" i="8"/>
  <c r="M295" i="8"/>
  <c r="N274" i="8"/>
  <c r="M274" i="8"/>
  <c r="L274" i="8"/>
  <c r="L300" i="8"/>
  <c r="N300" i="8"/>
  <c r="M300" i="8"/>
  <c r="M272" i="8"/>
  <c r="L272" i="8"/>
  <c r="L326" i="8"/>
  <c r="N326" i="8"/>
  <c r="L337" i="8"/>
  <c r="N337" i="8"/>
  <c r="P339" i="8"/>
  <c r="N339" i="8"/>
  <c r="M339" i="8"/>
  <c r="L238" i="8"/>
  <c r="L243" i="8"/>
  <c r="L244" i="8"/>
  <c r="L246" i="8"/>
  <c r="L251" i="8"/>
  <c r="N272" i="8"/>
  <c r="N283" i="8"/>
  <c r="M283" i="8"/>
  <c r="N275" i="8"/>
  <c r="M275" i="8"/>
  <c r="L290" i="8"/>
  <c r="N290" i="8"/>
  <c r="M290" i="8"/>
  <c r="L308" i="8"/>
  <c r="N308" i="8"/>
  <c r="L269" i="8"/>
  <c r="L280" i="8"/>
  <c r="M293" i="8"/>
  <c r="L310" i="8"/>
  <c r="N264" i="8"/>
  <c r="N285" i="8"/>
  <c r="N297" i="8"/>
  <c r="M302" i="8"/>
  <c r="L307" i="8"/>
  <c r="N315" i="8"/>
  <c r="M320" i="8"/>
  <c r="L325" i="8"/>
  <c r="L336" i="8"/>
  <c r="N341" i="8"/>
  <c r="M343" i="8"/>
  <c r="N346" i="8"/>
  <c r="N302" i="8"/>
  <c r="M307" i="8"/>
  <c r="N320" i="8"/>
  <c r="M325" i="8"/>
  <c r="M336" i="8"/>
  <c r="N343" i="8"/>
  <c r="L266" i="8"/>
  <c r="L268" i="8"/>
  <c r="M287" i="8"/>
  <c r="L292" i="8"/>
  <c r="M299" i="8"/>
  <c r="L304" i="8"/>
  <c r="M317" i="8"/>
  <c r="L322" i="8"/>
  <c r="M333" i="8"/>
  <c r="M266" i="8"/>
  <c r="M268" i="8"/>
  <c r="N287" i="8"/>
  <c r="M292" i="8"/>
  <c r="N299" i="8"/>
  <c r="M304" i="8"/>
  <c r="N317" i="8"/>
  <c r="M322" i="8"/>
  <c r="M327" i="8"/>
  <c r="N333" i="8"/>
  <c r="M338" i="8"/>
  <c r="N342" i="8"/>
  <c r="M263" i="8"/>
  <c r="M276" i="8"/>
  <c r="N279" i="8"/>
  <c r="M284" i="8"/>
  <c r="L289" i="8"/>
  <c r="M296" i="8"/>
  <c r="L301" i="8"/>
  <c r="N309" i="8"/>
  <c r="M314" i="8"/>
  <c r="L319" i="8"/>
  <c r="N327" i="8"/>
  <c r="N338" i="8"/>
  <c r="M273" i="8"/>
  <c r="N276" i="8"/>
  <c r="N284" i="8"/>
  <c r="M294" i="8"/>
  <c r="N296" i="8"/>
  <c r="M306" i="8"/>
  <c r="N314" i="8"/>
  <c r="M324" i="8"/>
  <c r="M335" i="8"/>
  <c r="N340" i="8"/>
  <c r="N345" i="8"/>
  <c r="A7" i="16" l="1" a="1"/>
  <c r="A7" i="1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查询 - 22寸边柜" description="与工作簿中“22寸边柜”查询的连接。" type="5" refreshedVersion="2" background="1" saveData="1">
    <dbPr connection="Provider=Microsoft.Mashup.OleDb.1;Data Source=$Workbook$;Location=22寸边柜;Extended Properties=&quot;&quot;" command="SELECT * FROM [22寸边柜]"/>
  </connection>
  <connection id="2" xr16:uid="{00000000-0015-0000-FFFF-FFFF01000000}" name="查询 - 27英寸6抽屉工具车" description="与工作簿中“27英寸6抽屉工具车”查询的连接。" type="5" refreshedVersion="2" background="1" saveData="1">
    <dbPr connection="Provider=Microsoft.Mashup.OleDb.1;Data Source=$Workbook$;Location=27英寸6抽屉工具车;Extended Properties=&quot;&quot;" command="SELECT * FROM [27英寸6抽屉工具车]"/>
  </connection>
  <connection id="3" xr16:uid="{00000000-0015-0000-FFFF-FFFF02000000}" name="查询 - 36寸5抽5 19下载" description="与工作簿中“36寸5抽5 19下载”查询的连接。" type="5" refreshedVersion="2" background="1" saveData="1">
    <dbPr connection="Provider=Microsoft.Mashup.OleDb.1;Data Source=$Workbook$;Location=&quot;36寸5抽5 19下载&quot;;Extended Properties=&quot;&quot;" command="SELECT * FROM [36寸5抽5 19下载]"/>
  </connection>
  <connection id="4" xr16:uid="{00000000-0015-0000-FFFF-FFFF03000000}" name="查询 - 5-22" description="与工作簿中“5-22”查询的连接。" type="5" refreshedVersion="2" background="1" saveData="1">
    <dbPr connection="Provider=Microsoft.Mashup.OleDb.1;Data Source=$Workbook$;Location=5-22;Extended Properties=&quot;&quot;" command="SELECT * FROM [5-22]"/>
  </connection>
  <connection id="5" xr16:uid="{00000000-0015-0000-FFFF-FFFF04000000}" name="查询 - 图纸" description="与工作簿中“图纸”查询的连接。" type="5" refreshedVersion="2" background="1" saveData="1">
    <dbPr connection="Provider=Microsoft.Mashup.OleDb.1;Data Source=$Workbook$;Location=图纸;Extended Properties=&quot;&quot;" command="SELECT * FROM [图纸]"/>
  </connection>
</connections>
</file>

<file path=xl/sharedStrings.xml><?xml version="1.0" encoding="utf-8"?>
<sst xmlns="http://schemas.openxmlformats.org/spreadsheetml/2006/main" count="2829" uniqueCount="642">
  <si>
    <t>序</t>
  </si>
  <si>
    <t>产品名称</t>
  </si>
  <si>
    <t>物料编码</t>
  </si>
  <si>
    <t>图纸编号</t>
  </si>
  <si>
    <t>零件名称</t>
  </si>
  <si>
    <t>零件规格</t>
  </si>
  <si>
    <t>材质</t>
  </si>
  <si>
    <t>单位
用量</t>
  </si>
  <si>
    <t>长度mm</t>
  </si>
  <si>
    <t>宽度mm</t>
  </si>
  <si>
    <t>厚度
mm</t>
  </si>
  <si>
    <t>切割
周长</t>
  </si>
  <si>
    <t>切孔
数量</t>
  </si>
  <si>
    <t>面积㎡</t>
  </si>
  <si>
    <t>重量
kg</t>
  </si>
  <si>
    <t>图纸目录</t>
  </si>
  <si>
    <t>旋转</t>
  </si>
  <si>
    <t>备注</t>
  </si>
  <si>
    <t>46寸9斗</t>
  </si>
  <si>
    <t>LP00001200</t>
  </si>
  <si>
    <t>P000012</t>
  </si>
  <si>
    <t xml:space="preserve">4609底盖小加强板（0.8MM ) </t>
  </si>
  <si>
    <t>0.8*119*1162</t>
  </si>
  <si>
    <t>SPCC冷轧板</t>
  </si>
  <si>
    <t>D:\图纸\4609图纸\LP00001200 底盖小加强板（0.8MM ) 0.8×119×1162.dwg</t>
  </si>
  <si>
    <t>LP00001300</t>
  </si>
  <si>
    <t>P000013</t>
  </si>
  <si>
    <t>4609底盖大加强板(0.8MM)</t>
  </si>
  <si>
    <t>0.8*172*1162</t>
  </si>
  <si>
    <t>D:\图纸\4609图纸\LP00001300 底盖大加强板(0.8MM) 0.8×172×1162.dwg</t>
  </si>
  <si>
    <t>LP00002400</t>
  </si>
  <si>
    <t>P000024</t>
  </si>
  <si>
    <t>4609竖槽（0.8MM)</t>
  </si>
  <si>
    <t>0.8*69*563</t>
  </si>
  <si>
    <t>D:\图纸\4609图纸\LP00002400 竖槽（0.8MM) 0.8×69×563.dwg</t>
  </si>
  <si>
    <t>LP00031700</t>
  </si>
  <si>
    <t>P000317</t>
  </si>
  <si>
    <t>4609顶盖（0.8MM)</t>
  </si>
  <si>
    <t>0.8*552*1168.5</t>
  </si>
  <si>
    <t>D:\图纸\4609图纸\LP00031700 顶盖（0.8MM) 0.8×552×1168.5.dwg</t>
  </si>
  <si>
    <t>LP00031800</t>
  </si>
  <si>
    <t>P000318</t>
  </si>
  <si>
    <t>4609底盖（0.8MM)</t>
  </si>
  <si>
    <t>0.8*552.5*1211</t>
  </si>
  <si>
    <t>D:\图纸\4609图纸\LP00031800 底盖（0.8MM) 0.8×552.5×1211.dwg</t>
  </si>
  <si>
    <t>LP00031900</t>
  </si>
  <si>
    <t>P000319</t>
  </si>
  <si>
    <t>4609左侧板(0.8MM)</t>
  </si>
  <si>
    <t>0.8*534.5*789</t>
  </si>
  <si>
    <t>D:\图纸\4609图纸\LP00031900 左侧板(0.8MM) 0.8×534.5×789.dwg</t>
  </si>
  <si>
    <t>LP00032100</t>
  </si>
  <si>
    <t>P000321</t>
  </si>
  <si>
    <t>4609后盖板(0.8MM)</t>
  </si>
  <si>
    <t>0.8*770.5*1168.5</t>
  </si>
  <si>
    <t>D:\图纸\4609图纸\LP00032100 后盖板(0.8MM) 0.8×770.5×1168.5.dwg</t>
  </si>
  <si>
    <t>LP00032200</t>
  </si>
  <si>
    <t>P000322</t>
  </si>
  <si>
    <t>4609左内垫板(0.8MM)</t>
  </si>
  <si>
    <t>0.8*152*662</t>
  </si>
  <si>
    <t>D:\图纸\4609图纸\LP00032200 左内垫板(0.8MM) 0.8×152×662.dwg</t>
  </si>
  <si>
    <t>LP00032400</t>
  </si>
  <si>
    <t>P000324</t>
  </si>
  <si>
    <t>4609后内垫板大槽(0.8MM)</t>
  </si>
  <si>
    <t>0.8*145*754.5</t>
  </si>
  <si>
    <t>D:\图纸\4609图纸\LP00032400 后内垫板大槽(0.8MM) 0.8×145×754.5.dwg</t>
  </si>
  <si>
    <t>LP00032500</t>
  </si>
  <si>
    <t>P000325</t>
  </si>
  <si>
    <t>4609中隔板(0.8MM)</t>
  </si>
  <si>
    <t>0.8*481.5*550</t>
  </si>
  <si>
    <t>D:\图纸\4609图纸\LP00032500 中隔板(0.8MM) 0.8×481.5×550.dwg</t>
  </si>
  <si>
    <t>LP00032700</t>
  </si>
  <si>
    <t>P000327</t>
  </si>
  <si>
    <t>4609中隔内垫板(0.8MM)</t>
  </si>
  <si>
    <t>0.8*112*550</t>
  </si>
  <si>
    <t>D:\图纸\4609图纸\LP00032700 中隔内垫板(0.8MM) 0.8×112×550.dwg</t>
  </si>
  <si>
    <t>LP00032800</t>
  </si>
  <si>
    <t>P000328</t>
  </si>
  <si>
    <t>4609中隔内垫板大槽(0.8MM)</t>
  </si>
  <si>
    <t>0.8*137*550</t>
  </si>
  <si>
    <t>D:\图纸\4609图纸\LP00032800 中隔内垫板大槽(0.8MM) 0.8×137×550.dwg</t>
  </si>
  <si>
    <t>LP00032900</t>
  </si>
  <si>
    <t>P000329</t>
  </si>
  <si>
    <t>4609后盖板短加强(0.8MM)</t>
  </si>
  <si>
    <t>0.8*38.5*247</t>
  </si>
  <si>
    <t>D:\图纸\4609图纸\LP00032900 后盖板短加强(0.8MM) 0.8×38.5×247.dwg</t>
  </si>
  <si>
    <t>LP00033000</t>
  </si>
  <si>
    <t>P000330</t>
  </si>
  <si>
    <t>4609后盖板长加强(0.8MM)</t>
  </si>
  <si>
    <t>0.8*38.5*493</t>
  </si>
  <si>
    <t>D:\图纸\4609图纸\LP00033000 后盖板长加强(0.8MM) 0.8×38.5×493.dwg</t>
  </si>
  <si>
    <t>LP00033200</t>
  </si>
  <si>
    <t>P000332</t>
  </si>
  <si>
    <t>4609顶长抽斗(0.8MM)</t>
  </si>
  <si>
    <t>0.8*418*1210</t>
  </si>
  <si>
    <t>D:\图纸\4609图纸\LP00033200 顶长抽斗(0.8MM) 0.8×418×1210.dwg</t>
  </si>
  <si>
    <t>LP00033300</t>
  </si>
  <si>
    <t>P000333</t>
  </si>
  <si>
    <t>4609顶长拉手（0.8MM ）</t>
  </si>
  <si>
    <t>0.8*168*1076</t>
  </si>
  <si>
    <t>D:\图纸\4609图纸\LP00033300 顶长拉手（0.8MM ） 0.8×168×1076.dwg</t>
  </si>
  <si>
    <t>LP00033400</t>
  </si>
  <si>
    <t>P000334</t>
  </si>
  <si>
    <t>4609小抽斗(0.8MM)</t>
  </si>
  <si>
    <t>0.8*418*603</t>
  </si>
  <si>
    <t>D:\图纸\4609图纸\LP00033400 小抽斗(0.8MM) 0.8×418×603.dwg</t>
  </si>
  <si>
    <t>LP00033500</t>
  </si>
  <si>
    <t>P000335</t>
  </si>
  <si>
    <t>4609小拉手(0.8MM）</t>
  </si>
  <si>
    <t>0.8*142*515</t>
  </si>
  <si>
    <t>D:\图纸\4609图纸\LP00033500 小拉手(0.8MM） 0.8×142×515.dwg</t>
  </si>
  <si>
    <t>LP00033600</t>
  </si>
  <si>
    <t>P000336</t>
  </si>
  <si>
    <t>4609中抽斗(0.8MM)</t>
  </si>
  <si>
    <t>0.8*418*639</t>
  </si>
  <si>
    <t>D:\图纸\4609图纸\LP00033600 中抽斗(0.8MM) 0.8×418×639.dwg</t>
  </si>
  <si>
    <t>LP00033700</t>
  </si>
  <si>
    <t>P000337</t>
  </si>
  <si>
    <t>4609中拉手(0.8MM）</t>
  </si>
  <si>
    <t>0.8*155*515</t>
  </si>
  <si>
    <t>D:\图纸\4609图纸\LP00033700 中拉手(0.8MM） 0.8×155×515.dwg</t>
  </si>
  <si>
    <t>LP00033800</t>
  </si>
  <si>
    <t>P000338</t>
  </si>
  <si>
    <t>4609大抽斗(0.8MM)</t>
  </si>
  <si>
    <t>0.8*418*919</t>
  </si>
  <si>
    <t>D:\图纸\4609图纸\LP00033800 大抽斗(0.8MM) 0.8×418×919.dwg</t>
  </si>
  <si>
    <t>LP00033900</t>
  </si>
  <si>
    <t>P000339</t>
  </si>
  <si>
    <t>4609大拉手(0.8MM）</t>
  </si>
  <si>
    <t>0.8*303*515</t>
  </si>
  <si>
    <t>D:\图纸\4609图纸\LP00033900 大拉手(0.8MM） 0.8×303×515.dwg</t>
  </si>
  <si>
    <t>LP00033100</t>
  </si>
  <si>
    <t>P000331</t>
  </si>
  <si>
    <t>4609横槽(0.9MM)</t>
  </si>
  <si>
    <t>0.9*86.5*1168.5</t>
  </si>
  <si>
    <t>D:\图纸\4609图纸\LP00033100-TC-4609NB横槽(01).dwg</t>
  </si>
  <si>
    <t>LP00002600</t>
  </si>
  <si>
    <t>P000026</t>
  </si>
  <si>
    <t>4609后排锁座(0.5)</t>
  </si>
  <si>
    <t>0.5*110*755</t>
  </si>
  <si>
    <t>D:\图纸\4609图纸\LP00002600 后排锁座(0.5) 0.5×110×755.dwg</t>
  </si>
  <si>
    <t>LP00003200</t>
  </si>
  <si>
    <t>P000032</t>
  </si>
  <si>
    <t>4609平衡杆(镀锌0.9)</t>
  </si>
  <si>
    <t>0.9*74*658</t>
  </si>
  <si>
    <t>SGCC镀锌板</t>
  </si>
  <si>
    <t>D:\图纸\4609图纸\LP00003200 平衡杆(镀锌0.9) 0.9×74×658.dwg</t>
  </si>
  <si>
    <t>ST09001200</t>
  </si>
  <si>
    <t>4609传动轴座(0.9)</t>
  </si>
  <si>
    <t>0.9*136*1250</t>
  </si>
  <si>
    <t>D:\图纸\4609图纸\ST09001200 传动轴座 0.9 0.9×136×1250.dwg</t>
  </si>
  <si>
    <t>ST08003000</t>
  </si>
  <si>
    <t>4609中抽屉后盖板</t>
  </si>
  <si>
    <t>Rectangle</t>
  </si>
  <si>
    <t>ST08002400</t>
  </si>
  <si>
    <t>4609顶长抽屉后盖板</t>
  </si>
  <si>
    <t>0.8*77.5*1056</t>
  </si>
  <si>
    <t>序号</t>
  </si>
  <si>
    <t>编号</t>
  </si>
  <si>
    <t>合同编号</t>
  </si>
  <si>
    <t>名称</t>
  </si>
  <si>
    <t>规格</t>
  </si>
  <si>
    <t>数量</t>
  </si>
  <si>
    <t>生产完成数量</t>
  </si>
  <si>
    <t>待生产数量</t>
  </si>
  <si>
    <t>交期</t>
  </si>
  <si>
    <t>码托数量</t>
  </si>
  <si>
    <t>合包</t>
  </si>
  <si>
    <t>CPI-260609-5</t>
  </si>
  <si>
    <t>日期</t>
  </si>
  <si>
    <t>班</t>
  </si>
  <si>
    <t>机台
编号</t>
  </si>
  <si>
    <t>计划单号</t>
  </si>
  <si>
    <t>合格
数量</t>
  </si>
  <si>
    <t>报废
数量</t>
  </si>
  <si>
    <t>成品
重量KG</t>
  </si>
  <si>
    <t>切割
周长(米)</t>
  </si>
  <si>
    <t>未打包数</t>
  </si>
  <si>
    <t>单张
数量</t>
  </si>
  <si>
    <t>白</t>
  </si>
  <si>
    <t>3000W-1</t>
  </si>
  <si>
    <t>夜</t>
  </si>
  <si>
    <t>0.8*1250*5740*1张</t>
  </si>
  <si>
    <t>3000W-2</t>
  </si>
  <si>
    <t>0.8*1250*11800*3张</t>
  </si>
  <si>
    <t>JGRWD002-00001362</t>
  </si>
  <si>
    <t>0.8*1250*10210*102张(497/889)</t>
  </si>
  <si>
    <t>0.8*1250*10210*97张(594/889)
卷尾有折痕，报废数量多</t>
  </si>
  <si>
    <t>0.8*1250*5900*8张</t>
  </si>
  <si>
    <t>0.8*1250*11800*7张</t>
  </si>
  <si>
    <t>甲白</t>
  </si>
  <si>
    <t>乙夜</t>
  </si>
  <si>
    <t>乙白</t>
  </si>
  <si>
    <t>甲夜</t>
  </si>
  <si>
    <t>JGRWD002-00001744</t>
  </si>
  <si>
    <t>0.5*1250*9125*48张</t>
  </si>
  <si>
    <t>0.8*1250*6000*1张</t>
  </si>
  <si>
    <t>JGRWD002-00001872</t>
  </si>
  <si>
    <t>JGRWD002-00001882</t>
  </si>
  <si>
    <t>0.8*1250*5910*160张(600/778)</t>
  </si>
  <si>
    <t>0.8*1250*5910*145张(745/778)</t>
  </si>
  <si>
    <t>JGRWD002-00001897</t>
  </si>
  <si>
    <t>0.8*1250*5910*39张(745/778)</t>
  </si>
  <si>
    <t>JGRWD002-00001964</t>
  </si>
  <si>
    <t>JGRWD002-00001992</t>
  </si>
  <si>
    <t>0.8*1250*5860*25张</t>
  </si>
  <si>
    <t>0.8*1250*5860*75张（100/366）</t>
  </si>
  <si>
    <t>0.8*1250*11660*65张</t>
  </si>
  <si>
    <t>JGRWD002-00002047</t>
  </si>
  <si>
    <t>0.8*1250*11660*108张（173/262）</t>
  </si>
  <si>
    <t>0.8*1250*11660*90张（263/263）</t>
  </si>
  <si>
    <t>0.8*1250*11790*11张（11/191）</t>
  </si>
  <si>
    <t>0.8*1250*5860*33张</t>
  </si>
  <si>
    <t>0.8*1250*5860*27张</t>
  </si>
  <si>
    <t>0.8*1250*11790*66张（77/191）</t>
  </si>
  <si>
    <t>0.8*1250*11790*20张（97/191）</t>
  </si>
  <si>
    <t>JGRWD002-00002087</t>
  </si>
  <si>
    <t>0.9*1250*9400*8张</t>
  </si>
  <si>
    <t>0.8*1250*11790*55张（152/191）</t>
  </si>
  <si>
    <t>0.8*1250*5860*24张</t>
  </si>
  <si>
    <t>0.8*1250*5840*1张</t>
  </si>
  <si>
    <t>0.8*1250*11790*55张（152/202）</t>
  </si>
  <si>
    <t>0.8*1250*11100*23张(23/281)</t>
  </si>
  <si>
    <t>0.8*1250*5840*38张(39/458)</t>
  </si>
  <si>
    <t>0.8*1250*11100*103张(126/458)</t>
  </si>
  <si>
    <t>0.8*1250*5840*19张(58/458)</t>
  </si>
  <si>
    <t>JGRWD002-00002107</t>
  </si>
  <si>
    <t>0.8*1250*11100*77张(203/458)</t>
  </si>
  <si>
    <t>0.8*1250*11100*86张(289/458)</t>
  </si>
  <si>
    <t>JGRWD002-00002108</t>
  </si>
  <si>
    <t>0.8*1250*11100*98张(387/458)</t>
  </si>
  <si>
    <t>JGRWD003-00001736</t>
  </si>
  <si>
    <t>0.8*1250*11100*74张</t>
  </si>
  <si>
    <t>0.8*1250*11800*14张(14/56)</t>
  </si>
  <si>
    <t>0.8*1250*5840*64张(64/400)</t>
  </si>
  <si>
    <t>0.8*1250*11800*35张(49/56)</t>
  </si>
  <si>
    <t>0.8*1250*11030*15张</t>
  </si>
  <si>
    <t>0.8*1250*9460*3张</t>
  </si>
  <si>
    <t>0.8*1250*11300*5张</t>
  </si>
  <si>
    <t>0.8*1250*11800*9张</t>
  </si>
  <si>
    <t>0.8*1250*5840*41张(105/400)</t>
  </si>
  <si>
    <t>0.8*1250*5840*50张(155/400)</t>
  </si>
  <si>
    <t>JGRWD002-00002132</t>
  </si>
  <si>
    <t>0.5*1250*5350*15张(15/23)</t>
  </si>
  <si>
    <t>0.8*1250*11540*84张(84/156)</t>
  </si>
  <si>
    <t>0.5*1250*5350*8张</t>
  </si>
  <si>
    <t>0.5*1250*5810*22张</t>
  </si>
  <si>
    <t>0.5*1250*6080*9张</t>
  </si>
  <si>
    <t>0.8*1250*5840*56张(56/249)</t>
  </si>
  <si>
    <t>0.8*1250*11540*61张(145/156)</t>
  </si>
  <si>
    <t>0.8*1250*10550*14张(14/91)</t>
  </si>
  <si>
    <t>0.8*1250*10550*64张(78/91)</t>
  </si>
  <si>
    <t>JGRWD002-00002139</t>
  </si>
  <si>
    <t>0.8*1500*11390*8张（8/69）</t>
  </si>
  <si>
    <t>JGRWD002-00002125</t>
  </si>
  <si>
    <t>0.8*1250*5840*42张(98/249)</t>
  </si>
  <si>
    <t>0.8*1500*10160*10张</t>
  </si>
  <si>
    <t>0.8*1500*10160*32张</t>
  </si>
  <si>
    <t>0.8*1500*10160*28张</t>
  </si>
  <si>
    <t>0.8*1250*11440*23张</t>
  </si>
  <si>
    <t>0.8*1250*10900*22张(22/38)</t>
  </si>
  <si>
    <t>0.8*1250*10900*16张(38/38)
0.8*1250*8175*1张</t>
  </si>
  <si>
    <t>0.8*1250*11870*51张(51/58)</t>
  </si>
  <si>
    <t>0.8*1250*11870*8张</t>
  </si>
  <si>
    <t>0.8*1250*11100*39张</t>
  </si>
  <si>
    <t>0.8*1250*11480*33张</t>
  </si>
  <si>
    <t>0.8*1250*9776*3张
0.8*1250*2440*1张</t>
  </si>
  <si>
    <t>0.8*1250*9820*28张
0.8*1250*4910*1张</t>
  </si>
  <si>
    <t>0.8*1250*11120*19张</t>
  </si>
  <si>
    <t>0.8*1250*8880*8张(8/23)</t>
  </si>
  <si>
    <t>0.8*1250*8880*14张
0.8*1250*6660*1张</t>
  </si>
  <si>
    <t>0.8*1250*4870*40张(40/98)</t>
  </si>
  <si>
    <t>0.8*1250*5190*22张(22/31)</t>
  </si>
  <si>
    <t>0.8*1250*10380*4张
0.8*1250*7785*1张</t>
  </si>
  <si>
    <t>0.8*1250*11180*1张
0.8*1250*2795*1张</t>
  </si>
  <si>
    <t>0.8*1250*11420*23张</t>
  </si>
  <si>
    <t>0.8*1250*9774*5张</t>
  </si>
  <si>
    <t>0.8*1250*11660*7张
0.8*1250*8745*1张</t>
  </si>
  <si>
    <t>JGRWD002-00002208</t>
  </si>
  <si>
    <t>0.8*1250*11675*27张
0.8*1250*5840*1张</t>
  </si>
  <si>
    <t>0.8*1250*11260*5张</t>
  </si>
  <si>
    <t>0.8*1250*11260*3张
0.8*1250*8445*1张</t>
  </si>
  <si>
    <t>0.8*1250*9340*16张
0.8*1250*7005*1张</t>
  </si>
  <si>
    <t>0.8*1250*11970*13张
0.8*1250*2995*1张</t>
  </si>
  <si>
    <t>0.8*1250*10600*11张
0.8*1250*5300*1张</t>
  </si>
  <si>
    <t>0.8*1250*10600*7张</t>
  </si>
  <si>
    <t>0.8*1250*11660*8张
0.8*1250*2915*1张</t>
  </si>
  <si>
    <t>0.8*1250*11550*3张</t>
  </si>
  <si>
    <t>0.8*1250*10860*13张
0.8*1250*5430*1张</t>
  </si>
  <si>
    <t>JGRWD002-00002192</t>
  </si>
  <si>
    <t>0.9*1250*6000*6张</t>
  </si>
  <si>
    <t>JGRWD002-00002193</t>
  </si>
  <si>
    <t>0.8*1250*10980*30张</t>
  </si>
  <si>
    <t>0.8*1250*10980*2张
0.8*1250*5490*1张</t>
  </si>
  <si>
    <t>0.8*1250*11805*17张</t>
  </si>
  <si>
    <t>0.8*1250*10300*9张
0.8*1250*2575*1张</t>
  </si>
  <si>
    <t>0.8*1250*9420*8张
0.8*1250*2355*1张</t>
  </si>
  <si>
    <t>0.8*1250*11805*19张
0.8*1250*2955*1张</t>
  </si>
  <si>
    <t>0.8*1250*11805*5张</t>
  </si>
  <si>
    <t>0.8*1250*11805*13张
0.8*1250*5905*1张</t>
  </si>
  <si>
    <t>0.8*1250*11180*3张</t>
  </si>
  <si>
    <t>0.8*1250*10940*1张</t>
  </si>
  <si>
    <t>0.8*1250*7665*1张</t>
  </si>
  <si>
    <t>0.8*1250*11570*7.25张</t>
  </si>
  <si>
    <t>0.8*1250*11985*8.5张</t>
  </si>
  <si>
    <t>0.8*1250*3340*1张</t>
  </si>
  <si>
    <t>0.8*1250*11800*4张</t>
  </si>
  <si>
    <t>0.8*1250*11400*11张(11/30)</t>
  </si>
  <si>
    <t>0.8*1250*11400*19张
0.8*1250*5700*1张</t>
  </si>
  <si>
    <t>0.8*1250*11800*52张(52/65)</t>
  </si>
  <si>
    <t>JGRWD002-00002253</t>
  </si>
  <si>
    <t>0.8*1250*11800*13张
0.8*1250*2950*1张</t>
  </si>
  <si>
    <t>0.8*1250*9260*47张</t>
  </si>
  <si>
    <t>0.8*1250*5900*6张</t>
  </si>
  <si>
    <t>0.8*1250*11800*44张</t>
  </si>
  <si>
    <t>打包
数量</t>
  </si>
  <si>
    <t>净重</t>
  </si>
  <si>
    <t>毛重</t>
  </si>
  <si>
    <t>体积
长/宽/高</t>
  </si>
  <si>
    <t>柜号</t>
  </si>
  <si>
    <t>理算
净重/厚/木架重</t>
  </si>
  <si>
    <t>10#-01</t>
  </si>
  <si>
    <t>10#-02</t>
  </si>
  <si>
    <t>10#-03</t>
  </si>
  <si>
    <t>10#-04</t>
  </si>
  <si>
    <t>10#-05</t>
  </si>
  <si>
    <t>10#-06</t>
  </si>
  <si>
    <t>10#-07</t>
  </si>
  <si>
    <t>10#-08</t>
  </si>
  <si>
    <t>10#-09</t>
  </si>
  <si>
    <t>10#-10</t>
  </si>
  <si>
    <t>10#-11</t>
  </si>
  <si>
    <t>10#-12</t>
  </si>
  <si>
    <t>10#-13</t>
  </si>
  <si>
    <t>10#-14</t>
  </si>
  <si>
    <t>10#-15</t>
  </si>
  <si>
    <t>10#-16</t>
  </si>
  <si>
    <t>10#-17</t>
  </si>
  <si>
    <t>10#-18</t>
  </si>
  <si>
    <t>11#-01</t>
  </si>
  <si>
    <t>11#-02</t>
  </si>
  <si>
    <t>11#-03</t>
  </si>
  <si>
    <t>11#-04</t>
  </si>
  <si>
    <t>11#-05</t>
  </si>
  <si>
    <t>11#-06</t>
  </si>
  <si>
    <t>11#-07</t>
  </si>
  <si>
    <t>11#-08</t>
  </si>
  <si>
    <t>11#-09</t>
  </si>
  <si>
    <t>11#-10</t>
  </si>
  <si>
    <t>11#-11</t>
  </si>
  <si>
    <t>11#-12</t>
  </si>
  <si>
    <t>11#-13</t>
  </si>
  <si>
    <t>11#-14</t>
  </si>
  <si>
    <t>11#-15</t>
  </si>
  <si>
    <t>11#-16</t>
  </si>
  <si>
    <t>11#-17</t>
  </si>
  <si>
    <t>11#-18</t>
  </si>
  <si>
    <t>11#-19</t>
  </si>
  <si>
    <t>12#-01</t>
  </si>
  <si>
    <t>12#-02</t>
  </si>
  <si>
    <t>12#-03</t>
  </si>
  <si>
    <t>12#-04</t>
  </si>
  <si>
    <t>12#-05</t>
  </si>
  <si>
    <t>12#-06</t>
  </si>
  <si>
    <t>12#-07</t>
  </si>
  <si>
    <t>12#-08</t>
  </si>
  <si>
    <t>12#-09</t>
  </si>
  <si>
    <t>12#-10</t>
  </si>
  <si>
    <t>12#-11</t>
  </si>
  <si>
    <t>12#-12</t>
  </si>
  <si>
    <t>12#-13</t>
  </si>
  <si>
    <t>12#-14</t>
  </si>
  <si>
    <t>13#-01</t>
  </si>
  <si>
    <t>13#-02</t>
  </si>
  <si>
    <t>13#-03</t>
  </si>
  <si>
    <t>13#-04</t>
  </si>
  <si>
    <t>13#-05</t>
  </si>
  <si>
    <t>13#-06</t>
  </si>
  <si>
    <t>13#-07</t>
  </si>
  <si>
    <t>13#-08</t>
  </si>
  <si>
    <t>13#-09</t>
  </si>
  <si>
    <t>13#-10</t>
  </si>
  <si>
    <t>13#-11</t>
  </si>
  <si>
    <t>13#-12</t>
  </si>
  <si>
    <t>13#-13</t>
  </si>
  <si>
    <t>13#-14</t>
  </si>
  <si>
    <t>13#-15</t>
  </si>
  <si>
    <t>13#-16</t>
  </si>
  <si>
    <t>14#-01</t>
  </si>
  <si>
    <t>14#-02</t>
  </si>
  <si>
    <t>14#-03</t>
  </si>
  <si>
    <t>14#-04</t>
  </si>
  <si>
    <t>14#-05</t>
  </si>
  <si>
    <t>14#-06</t>
  </si>
  <si>
    <t>14#-07</t>
  </si>
  <si>
    <t>14#-08</t>
  </si>
  <si>
    <t>14#-09</t>
  </si>
  <si>
    <t>14#-10</t>
  </si>
  <si>
    <t>14#-11</t>
  </si>
  <si>
    <t>14#-12</t>
  </si>
  <si>
    <t>14#-13</t>
  </si>
  <si>
    <t>14#-14</t>
  </si>
  <si>
    <t>14#-15</t>
  </si>
  <si>
    <t>14#-16</t>
  </si>
  <si>
    <t>14#-17</t>
  </si>
  <si>
    <t>14#-18</t>
  </si>
  <si>
    <t>14#-19</t>
  </si>
  <si>
    <t>14#-20</t>
  </si>
  <si>
    <t>14#-21</t>
  </si>
  <si>
    <t>15#-01</t>
  </si>
  <si>
    <t>15#-02</t>
  </si>
  <si>
    <t>15#-03</t>
  </si>
  <si>
    <t>15#-04</t>
  </si>
  <si>
    <t>15#-05</t>
  </si>
  <si>
    <t>15#-06</t>
  </si>
  <si>
    <t>15#-07</t>
  </si>
  <si>
    <t>15#-08</t>
  </si>
  <si>
    <t>15#-09</t>
  </si>
  <si>
    <t>15#-10</t>
  </si>
  <si>
    <t>15#-11</t>
  </si>
  <si>
    <t>15#-12</t>
  </si>
  <si>
    <t>15#-13</t>
  </si>
  <si>
    <t>15#-14</t>
  </si>
  <si>
    <t>16#-01</t>
  </si>
  <si>
    <t>16#-02</t>
  </si>
  <si>
    <t>16#-03</t>
  </si>
  <si>
    <t>16#-04</t>
  </si>
  <si>
    <t>16#-05</t>
  </si>
  <si>
    <t>16#-06</t>
  </si>
  <si>
    <t>16#-07</t>
  </si>
  <si>
    <t>16#-08</t>
  </si>
  <si>
    <t>16#-09</t>
  </si>
  <si>
    <t>16#-10</t>
  </si>
  <si>
    <t>16#-11</t>
  </si>
  <si>
    <t>16#-12</t>
  </si>
  <si>
    <t>16#-13</t>
  </si>
  <si>
    <t>16#-14</t>
  </si>
  <si>
    <t>16#-15</t>
  </si>
  <si>
    <t>16#-16</t>
  </si>
  <si>
    <t>16#-17</t>
  </si>
  <si>
    <t>16#-18</t>
  </si>
  <si>
    <t>17#-01</t>
  </si>
  <si>
    <t>17#-02</t>
  </si>
  <si>
    <t>17#-03</t>
  </si>
  <si>
    <t>17#-04</t>
  </si>
  <si>
    <t>17#-05</t>
  </si>
  <si>
    <t>17#-06</t>
  </si>
  <si>
    <t>17#-07</t>
  </si>
  <si>
    <t>17#-08</t>
  </si>
  <si>
    <t>17#-09</t>
  </si>
  <si>
    <t>17#-10</t>
  </si>
  <si>
    <t>17#-11</t>
  </si>
  <si>
    <t>17#-12</t>
  </si>
  <si>
    <t>17#-13</t>
  </si>
  <si>
    <t>17#-14</t>
  </si>
  <si>
    <t>截止到3000W-2-19</t>
  </si>
  <si>
    <t>截止到3000W-2-28</t>
  </si>
  <si>
    <t>截止到3000W-2-37</t>
  </si>
  <si>
    <t>截止到3000W-2-46</t>
  </si>
  <si>
    <t>截止到3000W-2-42</t>
  </si>
  <si>
    <t>截止到3000W-2-132</t>
  </si>
  <si>
    <t>截止到3000W-2-210</t>
  </si>
  <si>
    <t>截止到3000W-2-420</t>
  </si>
  <si>
    <t>截止到3000W-2-33</t>
  </si>
  <si>
    <t>截止到3000W-2-145</t>
  </si>
  <si>
    <t>截止到3000W-2-190</t>
  </si>
  <si>
    <t>截止到3000W-1-58</t>
  </si>
  <si>
    <t>截止到3000W-2-308</t>
  </si>
  <si>
    <t>截止到3000W-2-27</t>
  </si>
  <si>
    <t>截止到3000W-2-252</t>
  </si>
  <si>
    <t>截止到3000W-2-31</t>
  </si>
  <si>
    <t>截止到3000W-2-48</t>
  </si>
  <si>
    <t>截止到3000W-2-168</t>
  </si>
  <si>
    <t>截止到3000W-2-57</t>
  </si>
  <si>
    <t>截止到3000W-2-114</t>
  </si>
  <si>
    <t>13#-17</t>
  </si>
  <si>
    <t>13#-18</t>
  </si>
  <si>
    <t>13#-19</t>
  </si>
  <si>
    <t>13#-20</t>
  </si>
  <si>
    <t>截止到3000W-1-46</t>
  </si>
  <si>
    <t>截止到3000W-1-92</t>
  </si>
  <si>
    <t>截止到3000W-2-38</t>
  </si>
  <si>
    <t>截止到3000W-2-126</t>
  </si>
  <si>
    <t>780*1180*360</t>
  </si>
  <si>
    <t>截止到3000W-2-59</t>
  </si>
  <si>
    <t>截止到3000W-2-14</t>
  </si>
  <si>
    <t>截止到3000W-2-78</t>
  </si>
  <si>
    <t>截止到3000W-2-209</t>
  </si>
  <si>
    <t>截止到3000W-2-20</t>
  </si>
  <si>
    <t>截止到3000W-2-40</t>
  </si>
  <si>
    <t>截止到3000W-2-21</t>
  </si>
  <si>
    <t>截止到3000W-2-84</t>
  </si>
  <si>
    <t>截止到3000W-1-38</t>
  </si>
  <si>
    <t>截止到3000W-2-22</t>
  </si>
  <si>
    <t>截止到3000W-2-54</t>
  </si>
  <si>
    <t>截止到3000W-2-72</t>
  </si>
  <si>
    <t>截止到3000W-2-13</t>
  </si>
  <si>
    <t>截止到3000W-2-16</t>
  </si>
  <si>
    <t>截止到3000W-1-21</t>
  </si>
  <si>
    <t>截止到3000W-2-95</t>
  </si>
  <si>
    <t>截止到3000W-2-112</t>
  </si>
  <si>
    <t>截止到3000W-2-5</t>
  </si>
  <si>
    <t>截止到3000W-1-24</t>
  </si>
  <si>
    <t>截止到3000W-1-79</t>
  </si>
  <si>
    <t>截止到3000W-2-7</t>
  </si>
  <si>
    <t>截止到3000W-2-133</t>
  </si>
  <si>
    <t>截止到3000W-2-8</t>
  </si>
  <si>
    <t>截止到3000W-2-15</t>
  </si>
  <si>
    <t>截止到3000W-2-152</t>
  </si>
  <si>
    <t>截止到3000W-2-240</t>
  </si>
  <si>
    <t>截止到3000W-2-66</t>
  </si>
  <si>
    <t>截止到3000W-2-154</t>
  </si>
  <si>
    <t>截止到3000W-2-10</t>
  </si>
  <si>
    <t>截止到3000W-2-102</t>
  </si>
  <si>
    <t>截止到3000W-2-265</t>
  </si>
  <si>
    <t>截止到3000W-2-138</t>
  </si>
  <si>
    <t>截止到3000W-2-247</t>
  </si>
  <si>
    <t>截止到3000W-2-171</t>
  </si>
  <si>
    <t>截止到3000W-2-228</t>
  </si>
  <si>
    <t>截止到3000W-2-76</t>
  </si>
  <si>
    <t>截止到3000W-2-53</t>
  </si>
  <si>
    <t>截止到3000W-2-24</t>
  </si>
  <si>
    <t>640*420*430</t>
  </si>
  <si>
    <t>截止到3000W-2-336</t>
  </si>
  <si>
    <t>截止到3000W-2-3</t>
  </si>
  <si>
    <t>截止到3000W-2-25</t>
  </si>
  <si>
    <t>截止到3000W-2-294</t>
  </si>
  <si>
    <t>截止到3000W-2-378</t>
  </si>
  <si>
    <t>截止到3000W-2-49</t>
  </si>
  <si>
    <t>12#-15</t>
  </si>
  <si>
    <t>截止到3000W-1-71</t>
  </si>
  <si>
    <t>截止到3000W-1-48</t>
  </si>
  <si>
    <t>555*760*340</t>
  </si>
  <si>
    <t>555*760*425</t>
  </si>
  <si>
    <t>450*770*495</t>
  </si>
  <si>
    <t>615*850*500</t>
  </si>
  <si>
    <t>450*770*490</t>
  </si>
  <si>
    <t>截止到3000W-2-79</t>
  </si>
  <si>
    <t>截止到3000W-1-131</t>
  </si>
  <si>
    <t>615*850*490</t>
  </si>
  <si>
    <t>截止到3000W-1-59</t>
  </si>
  <si>
    <t>615*850*495</t>
  </si>
  <si>
    <t>580*430*390</t>
  </si>
  <si>
    <t>截止到3000W-1-638</t>
  </si>
  <si>
    <t>JGRWD002-00001878</t>
  </si>
  <si>
    <t>580*430*315</t>
  </si>
  <si>
    <t>3663齐，截止到3000W-1-784</t>
  </si>
  <si>
    <t>615*850*485</t>
  </si>
  <si>
    <t>12#-16</t>
  </si>
  <si>
    <t>13#-21</t>
  </si>
  <si>
    <t>655*850*505</t>
  </si>
  <si>
    <t>530*580*510</t>
  </si>
  <si>
    <t>530*580*515</t>
  </si>
  <si>
    <t>530*580*520</t>
  </si>
  <si>
    <t>655*850*520</t>
  </si>
  <si>
    <t>430*1225*520</t>
  </si>
  <si>
    <t>675*470*480</t>
  </si>
  <si>
    <t>550*800*520</t>
  </si>
  <si>
    <t>430*930*520</t>
  </si>
  <si>
    <t>670*460*400</t>
  </si>
  <si>
    <t>670*460*370</t>
  </si>
  <si>
    <t>3663齐</t>
  </si>
  <si>
    <t>620*530*505</t>
  </si>
  <si>
    <t>620*530*500</t>
  </si>
  <si>
    <t>430*930*515</t>
  </si>
  <si>
    <t>565*495*505</t>
  </si>
  <si>
    <t>565*495*510</t>
  </si>
  <si>
    <t>615*850*470</t>
  </si>
  <si>
    <t>565*495*515</t>
  </si>
  <si>
    <t>620*530*510</t>
  </si>
  <si>
    <t>520*1090*430</t>
  </si>
  <si>
    <t>565*1180*465</t>
  </si>
  <si>
    <t>430*1225*515</t>
  </si>
  <si>
    <t>550*800*510</t>
  </si>
  <si>
    <t>550*800*515</t>
  </si>
  <si>
    <t>520*1090*425</t>
  </si>
  <si>
    <t>550*800*455</t>
  </si>
  <si>
    <t>7326齐</t>
  </si>
  <si>
    <t>675*470*510</t>
  </si>
  <si>
    <t>530*1180*375</t>
  </si>
  <si>
    <t>430*930*510</t>
  </si>
  <si>
    <t>565*1180*460</t>
  </si>
  <si>
    <t>520*1165*420</t>
  </si>
  <si>
    <t>450*770*480</t>
  </si>
  <si>
    <t>530*635*450</t>
  </si>
  <si>
    <t>1225*565*470</t>
  </si>
  <si>
    <t>1175*525*425</t>
  </si>
  <si>
    <t>780*1180*350</t>
  </si>
  <si>
    <t>655*850*515</t>
  </si>
  <si>
    <t>截止到3000W-2-396</t>
  </si>
  <si>
    <t>截止到3000W-2-425</t>
  </si>
  <si>
    <t>780*1180*355</t>
  </si>
  <si>
    <t>截止到3000W-2-461</t>
  </si>
  <si>
    <t>565*565*470</t>
  </si>
  <si>
    <t>430*930*490</t>
  </si>
  <si>
    <t>1225*565*460</t>
  </si>
  <si>
    <t>530*635*475</t>
  </si>
  <si>
    <t>430*930*495</t>
  </si>
  <si>
    <t>615*850*480</t>
  </si>
  <si>
    <t>430*930*500</t>
  </si>
  <si>
    <t>1175*525*435</t>
  </si>
  <si>
    <t>655*850*510</t>
  </si>
  <si>
    <t>565*495*520</t>
  </si>
  <si>
    <t>原库存3677，截止到3000W-2-560</t>
  </si>
  <si>
    <t>截止到3000W-1-117</t>
  </si>
  <si>
    <t>485*1175*460</t>
  </si>
  <si>
    <t>620*530*520</t>
  </si>
  <si>
    <t>450*760*240</t>
  </si>
  <si>
    <t>430*1225*510</t>
  </si>
  <si>
    <t>620*530*525</t>
  </si>
  <si>
    <t>530*635*480</t>
  </si>
  <si>
    <t>1225*565*410</t>
  </si>
  <si>
    <t>565*1180*445</t>
  </si>
  <si>
    <t>1225*565*485</t>
  </si>
  <si>
    <t>615*850*455</t>
  </si>
  <si>
    <t>565*465*500</t>
  </si>
  <si>
    <t>565*465*455</t>
  </si>
  <si>
    <t>485*1175*465</t>
  </si>
  <si>
    <t>14652齐</t>
  </si>
  <si>
    <t>530*1180*380</t>
  </si>
  <si>
    <t>430*1225*480</t>
  </si>
  <si>
    <t>430*1225*525</t>
  </si>
  <si>
    <t>430*1225*530</t>
  </si>
  <si>
    <t>Factory name</t>
  </si>
  <si>
    <t>juquan</t>
  </si>
  <si>
    <t>Material Number</t>
  </si>
  <si>
    <t>Net Weight (kg)</t>
  </si>
  <si>
    <t>Material Specification</t>
  </si>
  <si>
    <t>Gross Weight (kg)</t>
  </si>
  <si>
    <t>Material Quantity</t>
  </si>
  <si>
    <t>Material</t>
  </si>
  <si>
    <t>SPCC</t>
  </si>
  <si>
    <t>contract number</t>
  </si>
  <si>
    <t>Date In Producted</t>
  </si>
  <si>
    <t>bar code</t>
  </si>
  <si>
    <t>QC</t>
  </si>
  <si>
    <t>Liu Baishui</t>
  </si>
  <si>
    <t>客户名称</t>
  </si>
  <si>
    <t>脉翔</t>
  </si>
  <si>
    <t>0.8*990*1400</t>
  </si>
  <si>
    <t>净重KG</t>
  </si>
  <si>
    <t>毛重KG</t>
  </si>
  <si>
    <t>0.8*73.5*493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</si>
</sst>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/m/d;@"/>
    <numFmt numFmtId="177" formatCode="0.0_ "/>
    <numFmt numFmtId="178" formatCode="0.000"/>
    <numFmt numFmtId="179" formatCode="0.0000"/>
  </numFmts>
  <fonts count="16" x14ac:knownFonts="1">
    <font>
      <sz val="12"/>
      <name val="宋体"/>
      <charset val="134"/>
    </font>
    <font>
      <sz val="9"/>
      <name val="微软雅黑"/>
      <family val="2"/>
      <charset val="134"/>
    </font>
    <font>
      <sz val="12"/>
      <name val="微软雅黑"/>
      <family val="2"/>
      <charset val="134"/>
    </font>
    <font>
      <b/>
      <sz val="24"/>
      <name val="微软雅黑"/>
      <family val="2"/>
      <charset val="134"/>
    </font>
    <font>
      <b/>
      <sz val="12"/>
      <name val="微软雅黑"/>
      <family val="2"/>
      <charset val="134"/>
    </font>
    <font>
      <b/>
      <sz val="10"/>
      <name val="微软雅黑"/>
      <family val="2"/>
      <charset val="134"/>
    </font>
    <font>
      <b/>
      <sz val="11"/>
      <name val="微软雅黑"/>
      <family val="2"/>
      <charset val="134"/>
    </font>
    <font>
      <b/>
      <sz val="22"/>
      <name val="微软雅黑"/>
      <family val="2"/>
      <charset val="134"/>
    </font>
    <font>
      <b/>
      <sz val="18"/>
      <name val="微软雅黑"/>
      <family val="2"/>
      <charset val="134"/>
    </font>
    <font>
      <b/>
      <sz val="14"/>
      <name val="微软雅黑"/>
      <family val="2"/>
      <charset val="134"/>
    </font>
    <font>
      <b/>
      <sz val="16"/>
      <name val="微软雅黑"/>
      <family val="2"/>
      <charset val="134"/>
    </font>
    <font>
      <b/>
      <sz val="120"/>
      <name val="Adobe 黑体 Std R"/>
      <family val="2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4" fontId="10" fillId="0" borderId="5" xfId="0" applyNumberFormat="1" applyFont="1" applyBorder="1" applyAlignment="1">
      <alignment horizontal="center" vertical="center"/>
    </xf>
    <xf numFmtId="14" fontId="0" fillId="0" borderId="0" xfId="0" applyNumberFormat="1">
      <alignment vertical="center"/>
    </xf>
    <xf numFmtId="0" fontId="0" fillId="0" borderId="0" xfId="0" applyProtection="1">
      <alignment vertical="center"/>
      <protection locked="0"/>
    </xf>
    <xf numFmtId="0" fontId="8" fillId="0" borderId="1" xfId="0" applyFont="1" applyBorder="1" applyAlignment="1">
      <alignment horizontal="center" vertical="center"/>
    </xf>
    <xf numFmtId="0" fontId="12" fillId="0" borderId="0" xfId="0" applyFon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0" borderId="0" xfId="0" applyAlignment="1">
      <alignment horizontal="right" vertical="center"/>
    </xf>
    <xf numFmtId="1" fontId="0" fillId="0" borderId="0" xfId="0" applyNumberFormat="1" applyAlignment="1">
      <alignment horizontal="left" vertical="center"/>
    </xf>
    <xf numFmtId="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6" fontId="0" fillId="2" borderId="0" xfId="0" applyNumberFormat="1" applyFill="1">
      <alignment vertical="center"/>
    </xf>
    <xf numFmtId="2" fontId="0" fillId="0" borderId="0" xfId="0" applyNumberFormat="1">
      <alignment vertical="center"/>
    </xf>
    <xf numFmtId="0" fontId="0" fillId="0" borderId="0" xfId="0" applyAlignment="1">
      <alignment vertical="top"/>
    </xf>
    <xf numFmtId="2" fontId="0" fillId="0" borderId="0" xfId="0" applyNumberFormat="1" applyAlignment="1">
      <alignment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/>
    </xf>
    <xf numFmtId="177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1" fontId="0" fillId="0" borderId="0" xfId="0" applyNumberFormat="1" applyAlignment="1">
      <alignment horizontal="right" vertical="center"/>
    </xf>
    <xf numFmtId="179" fontId="0" fillId="0" borderId="0" xfId="0" applyNumberFormat="1" applyAlignment="1">
      <alignment horizontal="right" vertical="center"/>
    </xf>
    <xf numFmtId="179" fontId="0" fillId="0" borderId="0" xfId="0" applyNumberFormat="1">
      <alignment vertical="center"/>
    </xf>
    <xf numFmtId="177" fontId="0" fillId="0" borderId="0" xfId="0" applyNumberFormat="1" applyAlignment="1">
      <alignment horizontal="left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78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79" fontId="0" fillId="0" borderId="0" xfId="0" applyNumberFormat="1" applyAlignment="1">
      <alignment horizontal="center" vertical="center" wrapText="1"/>
    </xf>
    <xf numFmtId="177" fontId="13" fillId="0" borderId="0" xfId="0" applyNumberFormat="1" applyFont="1">
      <alignment vertical="center"/>
    </xf>
    <xf numFmtId="0" fontId="15" fillId="0" borderId="0" xfId="0" applyFont="1">
      <alignment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8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常规" xfId="0" builtinId="0"/>
  </cellStyles>
  <dxfs count="2">
    <dxf>
      <fill>
        <patternFill patternType="solid">
          <bgColor rgb="FFFF0000"/>
        </patternFill>
      </fill>
    </dxf>
    <dxf>
      <font>
        <color rgb="FFFFFFFF"/>
      </font>
    </dxf>
  </dxfs>
  <tableStyles count="0" defaultTableStyle="TableStyleMedium2" defaultPivotStyle="PivotStyleLight16"/>
  <colors>
    <mruColors>
      <color rgb="FFA8EAE4"/>
      <color rgb="FFFEE796"/>
      <color rgb="FF000000"/>
      <color rgb="FFFFC0CB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29"/>
  <sheetViews>
    <sheetView workbookViewId="0">
      <pane ySplit="1" topLeftCell="A2" activePane="bottomLeft" state="frozen"/>
      <selection pane="bottomLeft" activeCell="A2" sqref="A2:A29"/>
    </sheetView>
  </sheetViews>
  <sheetFormatPr defaultColWidth="9" defaultRowHeight="14.25" x14ac:dyDescent="0.15"/>
  <cols>
    <col min="1" max="1" width="5.5" customWidth="1"/>
    <col min="2" max="2" width="11.5" customWidth="1"/>
    <col min="3" max="3" width="16.125" customWidth="1"/>
    <col min="4" max="4" width="13.875" customWidth="1"/>
    <col min="5" max="5" width="43.125" customWidth="1"/>
    <col min="6" max="6" width="24.125" style="22" customWidth="1"/>
    <col min="7" max="7" width="11.625" customWidth="1"/>
    <col min="8" max="8" width="9.5" style="26" customWidth="1"/>
    <col min="9" max="9" width="11.625" style="37" customWidth="1"/>
    <col min="10" max="10" width="9.5" style="26" customWidth="1"/>
    <col min="11" max="11" width="7.5" style="26" customWidth="1"/>
    <col min="12" max="12" width="9.625" style="38" customWidth="1"/>
    <col min="13" max="13" width="7.5" style="39" customWidth="1"/>
    <col min="14" max="14" width="11.625" style="26" customWidth="1"/>
    <col min="15" max="15" width="8.75" style="40" customWidth="1"/>
    <col min="16" max="16" width="8.75" style="41" customWidth="1"/>
    <col min="17" max="17" width="8.75" style="28" customWidth="1"/>
    <col min="18" max="18" width="21.375" customWidth="1"/>
  </cols>
  <sheetData>
    <row r="1" spans="1:18" s="29" customFormat="1" ht="28.5" customHeight="1" x14ac:dyDescent="0.1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42" t="s">
        <v>5</v>
      </c>
      <c r="G1" s="23" t="s">
        <v>6</v>
      </c>
      <c r="H1" s="26" t="s">
        <v>7</v>
      </c>
      <c r="I1" s="43" t="s">
        <v>8</v>
      </c>
      <c r="J1" s="44" t="s">
        <v>9</v>
      </c>
      <c r="K1" s="44" t="s">
        <v>10</v>
      </c>
      <c r="L1" s="45" t="s">
        <v>11</v>
      </c>
      <c r="M1" s="46" t="s">
        <v>12</v>
      </c>
      <c r="N1" s="29" t="s">
        <v>13</v>
      </c>
      <c r="O1" s="47" t="s">
        <v>14</v>
      </c>
      <c r="P1" s="41" t="s">
        <v>15</v>
      </c>
      <c r="Q1" s="46" t="s">
        <v>16</v>
      </c>
      <c r="R1" s="29" t="s">
        <v>17</v>
      </c>
    </row>
    <row r="2" spans="1:18" ht="14.25" customHeight="1" x14ac:dyDescent="0.15">
      <c r="A2">
        <v>1</v>
      </c>
      <c r="B2" t="s">
        <v>18</v>
      </c>
      <c r="C2" t="s">
        <v>19</v>
      </c>
      <c r="D2" t="s">
        <v>20</v>
      </c>
      <c r="E2" t="s">
        <v>21</v>
      </c>
      <c r="F2" s="22" t="s">
        <v>22</v>
      </c>
      <c r="G2" t="s">
        <v>23</v>
      </c>
      <c r="H2" s="26">
        <v>1</v>
      </c>
      <c r="I2" s="37">
        <v>1162</v>
      </c>
      <c r="J2" s="26">
        <v>119</v>
      </c>
      <c r="K2" s="26">
        <v>0.8</v>
      </c>
      <c r="L2" s="38">
        <v>2.5619999999999998</v>
      </c>
      <c r="M2" s="39">
        <v>8</v>
      </c>
      <c r="N2" s="26">
        <v>0.13691999999999999</v>
      </c>
      <c r="O2" s="40">
        <f t="shared" ref="O2:O29" si="0">K2*N2*7.85</f>
        <v>0.85985759999999989</v>
      </c>
      <c r="P2" s="41" t="s">
        <v>24</v>
      </c>
      <c r="Q2" s="28">
        <v>0</v>
      </c>
    </row>
    <row r="3" spans="1:18" ht="14.25" customHeight="1" x14ac:dyDescent="0.15">
      <c r="A3">
        <v>2</v>
      </c>
      <c r="B3" t="s">
        <v>18</v>
      </c>
      <c r="C3" t="s">
        <v>25</v>
      </c>
      <c r="D3" t="s">
        <v>26</v>
      </c>
      <c r="E3" t="s">
        <v>27</v>
      </c>
      <c r="F3" s="22" t="s">
        <v>28</v>
      </c>
      <c r="G3" t="s">
        <v>23</v>
      </c>
      <c r="H3" s="26">
        <v>1</v>
      </c>
      <c r="I3" s="37">
        <v>1162</v>
      </c>
      <c r="J3" s="26">
        <v>172</v>
      </c>
      <c r="K3" s="26">
        <v>0.8</v>
      </c>
      <c r="L3" s="38">
        <v>2.6680000000000001</v>
      </c>
      <c r="M3" s="39">
        <v>8</v>
      </c>
      <c r="N3" s="26">
        <v>0.19853000000000001</v>
      </c>
      <c r="O3" s="40">
        <f t="shared" si="0"/>
        <v>1.2467684000000001</v>
      </c>
      <c r="P3" s="41" t="s">
        <v>29</v>
      </c>
      <c r="Q3" s="28">
        <v>0</v>
      </c>
    </row>
    <row r="4" spans="1:18" ht="14.25" customHeight="1" x14ac:dyDescent="0.15">
      <c r="A4">
        <v>3</v>
      </c>
      <c r="B4" t="s">
        <v>18</v>
      </c>
      <c r="C4" t="s">
        <v>30</v>
      </c>
      <c r="D4" t="s">
        <v>31</v>
      </c>
      <c r="E4" t="s">
        <v>32</v>
      </c>
      <c r="F4" s="22" t="s">
        <v>33</v>
      </c>
      <c r="G4" t="s">
        <v>23</v>
      </c>
      <c r="H4" s="26">
        <v>1</v>
      </c>
      <c r="I4" s="37">
        <v>563</v>
      </c>
      <c r="J4" s="26">
        <v>69</v>
      </c>
      <c r="K4" s="26">
        <v>0.8</v>
      </c>
      <c r="L4" s="38">
        <v>1.2709999999999999</v>
      </c>
      <c r="M4" s="39">
        <v>0</v>
      </c>
      <c r="N4" s="26">
        <v>3.705E-2</v>
      </c>
      <c r="O4" s="40">
        <f t="shared" si="0"/>
        <v>0.23267399999999999</v>
      </c>
      <c r="P4" s="41" t="s">
        <v>34</v>
      </c>
      <c r="Q4" s="28">
        <v>0</v>
      </c>
    </row>
    <row r="5" spans="1:18" ht="14.25" customHeight="1" x14ac:dyDescent="0.15">
      <c r="A5">
        <v>4</v>
      </c>
      <c r="B5" t="s">
        <v>18</v>
      </c>
      <c r="C5" t="s">
        <v>35</v>
      </c>
      <c r="D5" t="s">
        <v>36</v>
      </c>
      <c r="E5" t="s">
        <v>37</v>
      </c>
      <c r="F5" s="22" t="s">
        <v>38</v>
      </c>
      <c r="G5" t="s">
        <v>23</v>
      </c>
      <c r="H5" s="26">
        <v>1</v>
      </c>
      <c r="I5" s="37">
        <v>1168</v>
      </c>
      <c r="J5" s="26">
        <v>552</v>
      </c>
      <c r="K5" s="26">
        <v>0.8</v>
      </c>
      <c r="L5" s="38">
        <v>3.419</v>
      </c>
      <c r="M5" s="39">
        <v>19</v>
      </c>
      <c r="N5" s="26">
        <v>0.64366999999999996</v>
      </c>
      <c r="O5" s="40">
        <f t="shared" si="0"/>
        <v>4.0422475999999996</v>
      </c>
      <c r="P5" s="41" t="s">
        <v>39</v>
      </c>
      <c r="Q5" s="28">
        <v>-1</v>
      </c>
    </row>
    <row r="6" spans="1:18" ht="14.25" customHeight="1" x14ac:dyDescent="0.15">
      <c r="A6">
        <v>5</v>
      </c>
      <c r="B6" t="s">
        <v>18</v>
      </c>
      <c r="C6" t="s">
        <v>40</v>
      </c>
      <c r="D6" t="s">
        <v>41</v>
      </c>
      <c r="E6" t="s">
        <v>42</v>
      </c>
      <c r="F6" s="22" t="s">
        <v>43</v>
      </c>
      <c r="G6" t="s">
        <v>23</v>
      </c>
      <c r="H6" s="26">
        <v>1</v>
      </c>
      <c r="I6" s="37">
        <v>1211</v>
      </c>
      <c r="J6" s="26">
        <v>553</v>
      </c>
      <c r="K6" s="26">
        <v>0.8</v>
      </c>
      <c r="L6" s="38">
        <v>3.581</v>
      </c>
      <c r="M6" s="39">
        <v>16</v>
      </c>
      <c r="N6" s="26">
        <v>0.66186</v>
      </c>
      <c r="O6" s="40">
        <f t="shared" si="0"/>
        <v>4.1564808000000006</v>
      </c>
      <c r="P6" s="41" t="s">
        <v>44</v>
      </c>
      <c r="Q6" s="28">
        <v>-1</v>
      </c>
    </row>
    <row r="7" spans="1:18" ht="14.25" customHeight="1" x14ac:dyDescent="0.15">
      <c r="A7">
        <v>6</v>
      </c>
      <c r="B7" t="s">
        <v>18</v>
      </c>
      <c r="C7" t="s">
        <v>45</v>
      </c>
      <c r="D7" t="s">
        <v>46</v>
      </c>
      <c r="E7" t="s">
        <v>47</v>
      </c>
      <c r="F7" s="22" t="s">
        <v>48</v>
      </c>
      <c r="G7" t="s">
        <v>23</v>
      </c>
      <c r="H7" s="26">
        <v>2</v>
      </c>
      <c r="I7" s="37">
        <v>789</v>
      </c>
      <c r="J7" s="26">
        <v>535</v>
      </c>
      <c r="K7" s="26">
        <v>0.8</v>
      </c>
      <c r="L7" s="38">
        <v>2.661</v>
      </c>
      <c r="M7" s="39">
        <v>4</v>
      </c>
      <c r="N7" s="26">
        <v>0.41702</v>
      </c>
      <c r="O7" s="40">
        <f t="shared" si="0"/>
        <v>2.6188856</v>
      </c>
      <c r="P7" s="41" t="s">
        <v>49</v>
      </c>
      <c r="Q7" s="28">
        <v>-1</v>
      </c>
    </row>
    <row r="8" spans="1:18" ht="14.25" customHeight="1" x14ac:dyDescent="0.15">
      <c r="A8">
        <v>7</v>
      </c>
      <c r="B8" t="s">
        <v>18</v>
      </c>
      <c r="C8" t="s">
        <v>50</v>
      </c>
      <c r="D8" t="s">
        <v>51</v>
      </c>
      <c r="E8" t="s">
        <v>52</v>
      </c>
      <c r="F8" s="22" t="s">
        <v>53</v>
      </c>
      <c r="G8" t="s">
        <v>23</v>
      </c>
      <c r="H8" s="26">
        <v>1</v>
      </c>
      <c r="I8" s="37">
        <v>1168</v>
      </c>
      <c r="J8" s="26">
        <v>771</v>
      </c>
      <c r="K8" s="26">
        <v>0.8</v>
      </c>
      <c r="L8" s="38">
        <v>3.8780000000000001</v>
      </c>
      <c r="M8" s="39">
        <v>6</v>
      </c>
      <c r="N8" s="26">
        <v>0.9002</v>
      </c>
      <c r="O8" s="40">
        <f t="shared" si="0"/>
        <v>5.6532559999999998</v>
      </c>
      <c r="P8" s="41" t="s">
        <v>54</v>
      </c>
      <c r="Q8" s="28">
        <v>-1</v>
      </c>
    </row>
    <row r="9" spans="1:18" ht="14.25" customHeight="1" x14ac:dyDescent="0.15">
      <c r="A9">
        <v>8</v>
      </c>
      <c r="B9" t="s">
        <v>18</v>
      </c>
      <c r="C9" t="s">
        <v>55</v>
      </c>
      <c r="D9" t="s">
        <v>56</v>
      </c>
      <c r="E9" t="s">
        <v>57</v>
      </c>
      <c r="F9" s="22" t="s">
        <v>58</v>
      </c>
      <c r="G9" t="s">
        <v>23</v>
      </c>
      <c r="H9" s="26">
        <v>2</v>
      </c>
      <c r="I9" s="37">
        <v>662</v>
      </c>
      <c r="J9" s="26">
        <v>152</v>
      </c>
      <c r="K9" s="26">
        <v>0.8</v>
      </c>
      <c r="L9" s="38">
        <v>1.776</v>
      </c>
      <c r="M9" s="39">
        <v>6</v>
      </c>
      <c r="N9" s="26">
        <v>9.8100000000000007E-2</v>
      </c>
      <c r="O9" s="40">
        <f t="shared" si="0"/>
        <v>0.61606800000000006</v>
      </c>
      <c r="P9" s="41" t="s">
        <v>59</v>
      </c>
      <c r="Q9" s="28">
        <v>0</v>
      </c>
    </row>
    <row r="10" spans="1:18" ht="14.25" customHeight="1" x14ac:dyDescent="0.15">
      <c r="A10">
        <v>9</v>
      </c>
      <c r="B10" t="s">
        <v>18</v>
      </c>
      <c r="C10" t="s">
        <v>60</v>
      </c>
      <c r="D10" t="s">
        <v>61</v>
      </c>
      <c r="E10" t="s">
        <v>62</v>
      </c>
      <c r="F10" s="22" t="s">
        <v>63</v>
      </c>
      <c r="G10" t="s">
        <v>23</v>
      </c>
      <c r="H10" s="26">
        <v>2</v>
      </c>
      <c r="I10" s="37">
        <v>754</v>
      </c>
      <c r="J10" s="26">
        <v>145</v>
      </c>
      <c r="K10" s="26">
        <v>0.8</v>
      </c>
      <c r="L10" s="38">
        <v>1.7989999999999999</v>
      </c>
      <c r="M10" s="39">
        <v>6</v>
      </c>
      <c r="N10" s="26">
        <v>0.10932</v>
      </c>
      <c r="O10" s="40">
        <f t="shared" si="0"/>
        <v>0.68652959999999996</v>
      </c>
      <c r="P10" s="41" t="s">
        <v>64</v>
      </c>
      <c r="Q10" s="28">
        <v>0</v>
      </c>
    </row>
    <row r="11" spans="1:18" ht="14.25" customHeight="1" x14ac:dyDescent="0.15">
      <c r="A11">
        <v>10</v>
      </c>
      <c r="B11" t="s">
        <v>18</v>
      </c>
      <c r="C11" t="s">
        <v>65</v>
      </c>
      <c r="D11" t="s">
        <v>66</v>
      </c>
      <c r="E11" t="s">
        <v>67</v>
      </c>
      <c r="F11" s="22" t="s">
        <v>68</v>
      </c>
      <c r="G11" t="s">
        <v>23</v>
      </c>
      <c r="H11" s="26">
        <v>1</v>
      </c>
      <c r="I11" s="37">
        <v>550</v>
      </c>
      <c r="J11" s="26">
        <v>482</v>
      </c>
      <c r="K11" s="26">
        <v>0.8</v>
      </c>
      <c r="L11" s="38">
        <v>2.0630000000000002</v>
      </c>
      <c r="M11" s="39">
        <v>15</v>
      </c>
      <c r="N11" s="26">
        <v>0.26436999999999999</v>
      </c>
      <c r="O11" s="40">
        <f t="shared" si="0"/>
        <v>1.6602436</v>
      </c>
      <c r="P11" s="41" t="s">
        <v>69</v>
      </c>
      <c r="Q11" s="28">
        <v>-1</v>
      </c>
    </row>
    <row r="12" spans="1:18" ht="14.25" customHeight="1" x14ac:dyDescent="0.15">
      <c r="A12">
        <v>11</v>
      </c>
      <c r="B12" t="s">
        <v>18</v>
      </c>
      <c r="C12" t="s">
        <v>70</v>
      </c>
      <c r="D12" t="s">
        <v>71</v>
      </c>
      <c r="E12" t="s">
        <v>72</v>
      </c>
      <c r="F12" s="22" t="s">
        <v>73</v>
      </c>
      <c r="G12" t="s">
        <v>23</v>
      </c>
      <c r="H12" s="26">
        <v>1</v>
      </c>
      <c r="I12" s="37">
        <v>550</v>
      </c>
      <c r="J12" s="26">
        <v>112</v>
      </c>
      <c r="K12" s="26">
        <v>0.8</v>
      </c>
      <c r="L12" s="38">
        <v>1.325</v>
      </c>
      <c r="M12" s="39">
        <v>5</v>
      </c>
      <c r="N12" s="26">
        <v>6.1440000000000002E-2</v>
      </c>
      <c r="O12" s="40">
        <f t="shared" si="0"/>
        <v>0.3858432</v>
      </c>
      <c r="P12" s="41" t="s">
        <v>74</v>
      </c>
      <c r="Q12" s="28">
        <v>0</v>
      </c>
    </row>
    <row r="13" spans="1:18" ht="14.25" customHeight="1" x14ac:dyDescent="0.15">
      <c r="A13">
        <v>12</v>
      </c>
      <c r="B13" t="s">
        <v>18</v>
      </c>
      <c r="C13" t="s">
        <v>75</v>
      </c>
      <c r="D13" t="s">
        <v>76</v>
      </c>
      <c r="E13" t="s">
        <v>77</v>
      </c>
      <c r="F13" s="22" t="s">
        <v>78</v>
      </c>
      <c r="G13" t="s">
        <v>23</v>
      </c>
      <c r="H13" s="26">
        <v>1</v>
      </c>
      <c r="I13" s="37">
        <v>550</v>
      </c>
      <c r="J13" s="26">
        <v>137</v>
      </c>
      <c r="K13" s="26">
        <v>0.8</v>
      </c>
      <c r="L13" s="38">
        <v>1.3740000000000001</v>
      </c>
      <c r="M13" s="39">
        <v>5</v>
      </c>
      <c r="N13" s="26">
        <v>7.528E-2</v>
      </c>
      <c r="O13" s="40">
        <f t="shared" si="0"/>
        <v>0.47275839999999997</v>
      </c>
      <c r="P13" s="41" t="s">
        <v>79</v>
      </c>
      <c r="Q13" s="28">
        <v>0</v>
      </c>
    </row>
    <row r="14" spans="1:18" ht="14.25" customHeight="1" x14ac:dyDescent="0.15">
      <c r="A14">
        <v>13</v>
      </c>
      <c r="B14" t="s">
        <v>18</v>
      </c>
      <c r="C14" t="s">
        <v>80</v>
      </c>
      <c r="D14" t="s">
        <v>81</v>
      </c>
      <c r="E14" t="s">
        <v>82</v>
      </c>
      <c r="F14" s="22" t="s">
        <v>83</v>
      </c>
      <c r="G14" t="s">
        <v>23</v>
      </c>
      <c r="H14" s="26">
        <v>2</v>
      </c>
      <c r="I14" s="37">
        <v>247</v>
      </c>
      <c r="J14" s="26">
        <v>39</v>
      </c>
      <c r="K14" s="26">
        <v>0.8</v>
      </c>
      <c r="L14" s="38">
        <v>0.57099999999999995</v>
      </c>
      <c r="M14" s="39">
        <v>2</v>
      </c>
      <c r="N14" s="26">
        <v>9.4800000000000006E-3</v>
      </c>
      <c r="O14" s="40">
        <f t="shared" si="0"/>
        <v>5.9534400000000001E-2</v>
      </c>
      <c r="P14" s="41" t="s">
        <v>84</v>
      </c>
      <c r="Q14" s="28">
        <v>-1</v>
      </c>
    </row>
    <row r="15" spans="1:18" ht="14.25" customHeight="1" x14ac:dyDescent="0.15">
      <c r="A15">
        <v>14</v>
      </c>
      <c r="B15" t="s">
        <v>18</v>
      </c>
      <c r="C15" t="s">
        <v>85</v>
      </c>
      <c r="D15" t="s">
        <v>86</v>
      </c>
      <c r="E15" t="s">
        <v>87</v>
      </c>
      <c r="F15" s="22" t="s">
        <v>88</v>
      </c>
      <c r="G15" t="s">
        <v>23</v>
      </c>
      <c r="H15" s="26">
        <v>1</v>
      </c>
      <c r="I15" s="37">
        <v>493</v>
      </c>
      <c r="J15" s="26">
        <v>39</v>
      </c>
      <c r="K15" s="26">
        <v>0.8</v>
      </c>
      <c r="L15" s="38">
        <v>1.0629999999999999</v>
      </c>
      <c r="M15" s="39">
        <v>2</v>
      </c>
      <c r="N15" s="26">
        <v>1.8950000000000002E-2</v>
      </c>
      <c r="O15" s="40">
        <f t="shared" si="0"/>
        <v>0.119006</v>
      </c>
      <c r="P15" s="41" t="s">
        <v>89</v>
      </c>
      <c r="Q15" s="28">
        <v>0</v>
      </c>
    </row>
    <row r="16" spans="1:18" ht="14.25" customHeight="1" x14ac:dyDescent="0.15">
      <c r="A16">
        <v>15</v>
      </c>
      <c r="B16" t="s">
        <v>18</v>
      </c>
      <c r="C16" t="s">
        <v>90</v>
      </c>
      <c r="D16" t="s">
        <v>91</v>
      </c>
      <c r="E16" t="s">
        <v>92</v>
      </c>
      <c r="F16" s="22" t="s">
        <v>93</v>
      </c>
      <c r="G16" t="s">
        <v>23</v>
      </c>
      <c r="H16" s="26">
        <v>1</v>
      </c>
      <c r="I16" s="37">
        <v>1210</v>
      </c>
      <c r="J16" s="26">
        <v>418</v>
      </c>
      <c r="K16" s="26">
        <v>0.8</v>
      </c>
      <c r="L16" s="38">
        <v>3.302</v>
      </c>
      <c r="M16" s="39">
        <v>12</v>
      </c>
      <c r="N16" s="26">
        <v>0.50394000000000005</v>
      </c>
      <c r="O16" s="40">
        <f t="shared" si="0"/>
        <v>3.1647432000000002</v>
      </c>
      <c r="P16" s="41" t="s">
        <v>94</v>
      </c>
      <c r="Q16" s="28">
        <v>-1</v>
      </c>
    </row>
    <row r="17" spans="1:17" ht="14.25" customHeight="1" x14ac:dyDescent="0.15">
      <c r="A17">
        <v>16</v>
      </c>
      <c r="B17" t="s">
        <v>18</v>
      </c>
      <c r="C17" t="s">
        <v>95</v>
      </c>
      <c r="D17" t="s">
        <v>96</v>
      </c>
      <c r="E17" t="s">
        <v>97</v>
      </c>
      <c r="F17" s="22" t="s">
        <v>98</v>
      </c>
      <c r="G17" t="s">
        <v>23</v>
      </c>
      <c r="H17" s="26">
        <v>1</v>
      </c>
      <c r="I17" s="37">
        <v>1076</v>
      </c>
      <c r="J17" s="26">
        <v>168</v>
      </c>
      <c r="K17" s="26">
        <v>0.8</v>
      </c>
      <c r="L17" s="38">
        <v>2.4820000000000002</v>
      </c>
      <c r="M17" s="39">
        <v>0</v>
      </c>
      <c r="N17" s="26">
        <v>0.18017</v>
      </c>
      <c r="O17" s="40">
        <f t="shared" si="0"/>
        <v>1.1314676000000001</v>
      </c>
      <c r="P17" s="41" t="s">
        <v>99</v>
      </c>
      <c r="Q17" s="28">
        <v>0</v>
      </c>
    </row>
    <row r="18" spans="1:17" ht="14.25" customHeight="1" x14ac:dyDescent="0.15">
      <c r="A18">
        <v>17</v>
      </c>
      <c r="B18" t="s">
        <v>18</v>
      </c>
      <c r="C18" t="s">
        <v>100</v>
      </c>
      <c r="D18" t="s">
        <v>101</v>
      </c>
      <c r="E18" t="s">
        <v>102</v>
      </c>
      <c r="F18" s="22" t="s">
        <v>103</v>
      </c>
      <c r="G18" t="s">
        <v>23</v>
      </c>
      <c r="H18" s="26">
        <v>4</v>
      </c>
      <c r="I18" s="37">
        <v>603</v>
      </c>
      <c r="J18" s="26">
        <v>418</v>
      </c>
      <c r="K18" s="26">
        <v>0.8</v>
      </c>
      <c r="L18" s="38">
        <v>2.089</v>
      </c>
      <c r="M18" s="39">
        <v>12</v>
      </c>
      <c r="N18" s="26">
        <v>0.25041999999999998</v>
      </c>
      <c r="O18" s="40">
        <f t="shared" si="0"/>
        <v>1.5726375999999997</v>
      </c>
      <c r="P18" s="41" t="s">
        <v>104</v>
      </c>
      <c r="Q18" s="28">
        <v>-1</v>
      </c>
    </row>
    <row r="19" spans="1:17" ht="14.25" customHeight="1" x14ac:dyDescent="0.15">
      <c r="A19">
        <v>18</v>
      </c>
      <c r="B19" t="s">
        <v>18</v>
      </c>
      <c r="C19" t="s">
        <v>105</v>
      </c>
      <c r="D19" t="s">
        <v>106</v>
      </c>
      <c r="E19" t="s">
        <v>107</v>
      </c>
      <c r="F19" s="22" t="s">
        <v>108</v>
      </c>
      <c r="G19" t="s">
        <v>23</v>
      </c>
      <c r="H19" s="26">
        <v>4</v>
      </c>
      <c r="I19" s="37">
        <v>515</v>
      </c>
      <c r="J19" s="26">
        <v>142</v>
      </c>
      <c r="K19" s="26">
        <v>0.8</v>
      </c>
      <c r="L19" s="38">
        <v>1.3080000000000001</v>
      </c>
      <c r="M19" s="39">
        <v>0</v>
      </c>
      <c r="N19" s="26">
        <v>7.2789999999999994E-2</v>
      </c>
      <c r="O19" s="40">
        <f t="shared" si="0"/>
        <v>0.45712119999999995</v>
      </c>
      <c r="P19" s="41" t="s">
        <v>109</v>
      </c>
      <c r="Q19" s="28">
        <v>0</v>
      </c>
    </row>
    <row r="20" spans="1:17" ht="14.25" customHeight="1" x14ac:dyDescent="0.15">
      <c r="A20">
        <v>19</v>
      </c>
      <c r="B20" t="s">
        <v>18</v>
      </c>
      <c r="C20" t="s">
        <v>110</v>
      </c>
      <c r="D20" t="s">
        <v>111</v>
      </c>
      <c r="E20" t="s">
        <v>112</v>
      </c>
      <c r="F20" s="22" t="s">
        <v>113</v>
      </c>
      <c r="G20" t="s">
        <v>23</v>
      </c>
      <c r="H20" s="26">
        <v>2</v>
      </c>
      <c r="I20" s="37">
        <v>639</v>
      </c>
      <c r="J20" s="26">
        <v>418</v>
      </c>
      <c r="K20" s="26">
        <v>0.8</v>
      </c>
      <c r="L20" s="38">
        <v>2.161</v>
      </c>
      <c r="M20" s="39">
        <v>12</v>
      </c>
      <c r="N20" s="26">
        <v>0.26546999999999998</v>
      </c>
      <c r="O20" s="40">
        <f t="shared" si="0"/>
        <v>1.6671516</v>
      </c>
      <c r="P20" s="41" t="s">
        <v>114</v>
      </c>
      <c r="Q20" s="28">
        <v>-1</v>
      </c>
    </row>
    <row r="21" spans="1:17" ht="14.25" customHeight="1" x14ac:dyDescent="0.15">
      <c r="A21">
        <v>20</v>
      </c>
      <c r="B21" t="s">
        <v>18</v>
      </c>
      <c r="C21" t="s">
        <v>115</v>
      </c>
      <c r="D21" t="s">
        <v>116</v>
      </c>
      <c r="E21" t="s">
        <v>117</v>
      </c>
      <c r="F21" s="22" t="s">
        <v>118</v>
      </c>
      <c r="G21" t="s">
        <v>23</v>
      </c>
      <c r="H21" s="26">
        <v>2</v>
      </c>
      <c r="I21" s="37">
        <v>515</v>
      </c>
      <c r="J21" s="26">
        <v>155</v>
      </c>
      <c r="K21" s="26">
        <v>0.8</v>
      </c>
      <c r="L21" s="38">
        <v>1.3340000000000001</v>
      </c>
      <c r="M21" s="39">
        <v>0</v>
      </c>
      <c r="N21" s="26">
        <v>7.9479999999999995E-2</v>
      </c>
      <c r="O21" s="40">
        <f t="shared" si="0"/>
        <v>0.49913439999999998</v>
      </c>
      <c r="P21" s="41" t="s">
        <v>119</v>
      </c>
      <c r="Q21" s="28">
        <v>0</v>
      </c>
    </row>
    <row r="22" spans="1:17" ht="14.25" customHeight="1" x14ac:dyDescent="0.15">
      <c r="A22">
        <v>21</v>
      </c>
      <c r="B22" t="s">
        <v>18</v>
      </c>
      <c r="C22" t="s">
        <v>120</v>
      </c>
      <c r="D22" t="s">
        <v>121</v>
      </c>
      <c r="E22" t="s">
        <v>122</v>
      </c>
      <c r="F22" s="22" t="s">
        <v>123</v>
      </c>
      <c r="G22" t="s">
        <v>23</v>
      </c>
      <c r="H22" s="26">
        <v>2</v>
      </c>
      <c r="I22" s="37">
        <v>919</v>
      </c>
      <c r="J22" s="26">
        <v>418</v>
      </c>
      <c r="K22" s="26">
        <v>0.8</v>
      </c>
      <c r="L22" s="38">
        <v>2.7210000000000001</v>
      </c>
      <c r="M22" s="39">
        <v>18</v>
      </c>
      <c r="N22" s="26">
        <v>0.38241999999999998</v>
      </c>
      <c r="O22" s="40">
        <f t="shared" si="0"/>
        <v>2.4015975999999997</v>
      </c>
      <c r="P22" s="41" t="s">
        <v>124</v>
      </c>
      <c r="Q22" s="28">
        <v>-1</v>
      </c>
    </row>
    <row r="23" spans="1:17" ht="14.25" customHeight="1" x14ac:dyDescent="0.15">
      <c r="A23">
        <v>22</v>
      </c>
      <c r="B23" t="s">
        <v>18</v>
      </c>
      <c r="C23" t="s">
        <v>125</v>
      </c>
      <c r="D23" t="s">
        <v>126</v>
      </c>
      <c r="E23" t="s">
        <v>127</v>
      </c>
      <c r="F23" s="22" t="s">
        <v>128</v>
      </c>
      <c r="G23" t="s">
        <v>23</v>
      </c>
      <c r="H23" s="26">
        <v>2</v>
      </c>
      <c r="I23" s="37">
        <v>515</v>
      </c>
      <c r="J23" s="26">
        <v>303</v>
      </c>
      <c r="K23" s="26">
        <v>0.8</v>
      </c>
      <c r="L23" s="38">
        <v>1.63</v>
      </c>
      <c r="M23" s="39">
        <v>0</v>
      </c>
      <c r="N23" s="26">
        <v>0.15570000000000001</v>
      </c>
      <c r="O23" s="40">
        <f t="shared" si="0"/>
        <v>0.977796</v>
      </c>
      <c r="P23" s="41" t="s">
        <v>129</v>
      </c>
      <c r="Q23" s="28">
        <v>-1</v>
      </c>
    </row>
    <row r="24" spans="1:17" ht="14.25" customHeight="1" x14ac:dyDescent="0.15">
      <c r="A24">
        <v>23</v>
      </c>
      <c r="B24" t="s">
        <v>18</v>
      </c>
      <c r="C24" t="s">
        <v>130</v>
      </c>
      <c r="D24" t="s">
        <v>131</v>
      </c>
      <c r="E24" t="s">
        <v>132</v>
      </c>
      <c r="F24" s="22" t="s">
        <v>133</v>
      </c>
      <c r="G24" t="s">
        <v>23</v>
      </c>
      <c r="H24" s="26">
        <v>1</v>
      </c>
      <c r="I24" s="37">
        <v>1168.5</v>
      </c>
      <c r="J24" s="26">
        <v>86.5</v>
      </c>
      <c r="K24" s="26">
        <v>0.9</v>
      </c>
      <c r="L24" s="38">
        <v>2.5489999999999999</v>
      </c>
      <c r="M24" s="39">
        <v>0</v>
      </c>
      <c r="N24" s="26">
        <v>0.10038999999999999</v>
      </c>
      <c r="O24" s="40">
        <f t="shared" si="0"/>
        <v>0.70925534999999995</v>
      </c>
      <c r="P24" s="41" t="s">
        <v>134</v>
      </c>
      <c r="Q24" s="28">
        <v>0</v>
      </c>
    </row>
    <row r="25" spans="1:17" ht="14.25" customHeight="1" x14ac:dyDescent="0.15">
      <c r="A25">
        <v>24</v>
      </c>
      <c r="B25" t="s">
        <v>18</v>
      </c>
      <c r="C25" t="s">
        <v>135</v>
      </c>
      <c r="D25" t="s">
        <v>136</v>
      </c>
      <c r="E25" t="s">
        <v>137</v>
      </c>
      <c r="F25" s="22" t="s">
        <v>138</v>
      </c>
      <c r="G25" t="s">
        <v>23</v>
      </c>
      <c r="H25" s="26">
        <v>2</v>
      </c>
      <c r="I25" s="37">
        <v>110</v>
      </c>
      <c r="J25" s="26">
        <v>755</v>
      </c>
      <c r="K25" s="26">
        <v>0.5</v>
      </c>
      <c r="L25" s="38">
        <v>1.85</v>
      </c>
      <c r="M25" s="39">
        <v>0</v>
      </c>
      <c r="N25" s="26">
        <v>8.1949999999999995E-2</v>
      </c>
      <c r="O25" s="40">
        <f t="shared" si="0"/>
        <v>0.32165374999999996</v>
      </c>
      <c r="P25" s="41" t="s">
        <v>139</v>
      </c>
      <c r="Q25" s="28">
        <v>0</v>
      </c>
    </row>
    <row r="26" spans="1:17" ht="14.25" customHeight="1" x14ac:dyDescent="0.15">
      <c r="A26">
        <v>25</v>
      </c>
      <c r="B26" t="s">
        <v>18</v>
      </c>
      <c r="C26" t="s">
        <v>140</v>
      </c>
      <c r="D26" t="s">
        <v>141</v>
      </c>
      <c r="E26" t="s">
        <v>142</v>
      </c>
      <c r="F26" s="22" t="s">
        <v>143</v>
      </c>
      <c r="G26" t="s">
        <v>144</v>
      </c>
      <c r="H26" s="26">
        <v>1</v>
      </c>
      <c r="I26" s="37">
        <v>658</v>
      </c>
      <c r="J26" s="26">
        <v>74</v>
      </c>
      <c r="K26" s="26">
        <v>0.9</v>
      </c>
      <c r="L26" s="38">
        <v>1.4650000000000001</v>
      </c>
      <c r="M26" s="39">
        <v>3</v>
      </c>
      <c r="N26" s="26">
        <v>4.7910000000000001E-2</v>
      </c>
      <c r="O26" s="40">
        <f t="shared" si="0"/>
        <v>0.33848415000000004</v>
      </c>
      <c r="P26" s="41" t="s">
        <v>145</v>
      </c>
      <c r="Q26" s="28">
        <v>0</v>
      </c>
    </row>
    <row r="27" spans="1:17" ht="14.25" customHeight="1" x14ac:dyDescent="0.15">
      <c r="A27">
        <v>26</v>
      </c>
      <c r="B27" t="s">
        <v>18</v>
      </c>
      <c r="C27" t="s">
        <v>146</v>
      </c>
      <c r="E27" t="s">
        <v>147</v>
      </c>
      <c r="F27" s="22" t="s">
        <v>148</v>
      </c>
      <c r="G27" t="s">
        <v>23</v>
      </c>
      <c r="H27" s="26">
        <v>0.02</v>
      </c>
      <c r="I27" s="37">
        <v>1250</v>
      </c>
      <c r="J27" s="26">
        <v>136</v>
      </c>
      <c r="K27" s="26">
        <v>0.9</v>
      </c>
      <c r="L27" s="38">
        <v>2.7719999999999998</v>
      </c>
      <c r="M27" s="39">
        <v>0</v>
      </c>
      <c r="N27" s="26">
        <v>0.17</v>
      </c>
      <c r="O27" s="40">
        <f t="shared" si="0"/>
        <v>1.2010500000000002</v>
      </c>
      <c r="P27" s="41" t="s">
        <v>149</v>
      </c>
      <c r="Q27" s="28">
        <v>-1</v>
      </c>
    </row>
    <row r="28" spans="1:17" ht="14.25" customHeight="1" x14ac:dyDescent="0.15">
      <c r="A28">
        <v>27</v>
      </c>
      <c r="B28" t="s">
        <v>18</v>
      </c>
      <c r="C28" t="s">
        <v>150</v>
      </c>
      <c r="E28" t="s">
        <v>151</v>
      </c>
      <c r="F28" s="48" t="s">
        <v>641</v>
      </c>
      <c r="G28" t="s">
        <v>23</v>
      </c>
      <c r="H28" s="26">
        <v>2</v>
      </c>
      <c r="I28" s="37">
        <v>493</v>
      </c>
      <c r="J28" s="26">
        <v>73.5</v>
      </c>
      <c r="K28" s="26">
        <v>0.8</v>
      </c>
      <c r="L28" s="38">
        <v>1.133</v>
      </c>
      <c r="M28" s="39">
        <v>0</v>
      </c>
      <c r="N28" s="26">
        <v>3.6235499999999997E-2</v>
      </c>
      <c r="O28" s="40">
        <f t="shared" si="0"/>
        <v>0.22755893999999996</v>
      </c>
      <c r="P28" s="41" t="s">
        <v>152</v>
      </c>
      <c r="Q28" s="28">
        <v>-1</v>
      </c>
    </row>
    <row r="29" spans="1:17" ht="14.25" customHeight="1" x14ac:dyDescent="0.15">
      <c r="A29">
        <v>28</v>
      </c>
      <c r="B29" t="s">
        <v>18</v>
      </c>
      <c r="C29" t="s">
        <v>153</v>
      </c>
      <c r="E29" t="s">
        <v>154</v>
      </c>
      <c r="F29" s="22" t="s">
        <v>155</v>
      </c>
      <c r="G29" t="s">
        <v>23</v>
      </c>
      <c r="I29" s="37">
        <v>1056</v>
      </c>
      <c r="J29" s="26">
        <v>77.5</v>
      </c>
      <c r="K29" s="26">
        <v>0.8</v>
      </c>
      <c r="L29" s="38">
        <f>1133.5*2/1000</f>
        <v>2.2669999999999999</v>
      </c>
      <c r="M29" s="39">
        <v>0</v>
      </c>
      <c r="O29" s="40">
        <f t="shared" si="0"/>
        <v>0</v>
      </c>
      <c r="P29" s="41" t="s">
        <v>152</v>
      </c>
      <c r="Q29" s="28">
        <v>-1</v>
      </c>
    </row>
  </sheetData>
  <autoFilter ref="A1:S33" xr:uid="{00000000-0009-0000-0000-000001000000}"/>
  <phoneticPr fontId="14" type="noConversion"/>
  <pageMargins left="0.7" right="0.7" top="0.75" bottom="0.75" header="0.3" footer="0.3"/>
  <pageSetup paperSize="262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25"/>
  <sheetViews>
    <sheetView workbookViewId="0">
      <pane ySplit="1" topLeftCell="A2" activePane="bottomLeft" state="frozen"/>
      <selection pane="bottomLeft" activeCell="A18" sqref="A18:XFD18"/>
    </sheetView>
  </sheetViews>
  <sheetFormatPr defaultColWidth="9" defaultRowHeight="14.25" x14ac:dyDescent="0.15"/>
  <cols>
    <col min="1" max="1" width="5.5" customWidth="1"/>
    <col min="2" max="2" width="16.125" customWidth="1"/>
    <col min="3" max="3" width="9.375" customWidth="1"/>
    <col min="4" max="4" width="15" customWidth="1"/>
    <col min="5" max="5" width="11.625" customWidth="1"/>
    <col min="6" max="6" width="39.125" customWidth="1"/>
    <col min="7" max="7" width="20.375" customWidth="1"/>
    <col min="8" max="8" width="6.5" customWidth="1"/>
    <col min="9" max="9" width="15.875" customWidth="1"/>
    <col min="10" max="10" width="11.625" customWidth="1"/>
    <col min="11" max="11" width="11.625" style="17" customWidth="1"/>
    <col min="12" max="12" width="11.5" customWidth="1"/>
    <col min="13" max="13" width="15.375" customWidth="1"/>
  </cols>
  <sheetData>
    <row r="1" spans="1:13" ht="14.25" customHeight="1" x14ac:dyDescent="0.15">
      <c r="A1" t="s">
        <v>156</v>
      </c>
      <c r="B1" t="s">
        <v>157</v>
      </c>
      <c r="C1" t="s">
        <v>158</v>
      </c>
      <c r="D1" t="s">
        <v>2</v>
      </c>
      <c r="E1" t="s">
        <v>6</v>
      </c>
      <c r="F1" t="s">
        <v>159</v>
      </c>
      <c r="G1" s="24" t="s">
        <v>160</v>
      </c>
      <c r="H1" t="s">
        <v>161</v>
      </c>
      <c r="I1" t="s">
        <v>162</v>
      </c>
      <c r="J1" t="s">
        <v>163</v>
      </c>
      <c r="K1" s="17" t="s">
        <v>164</v>
      </c>
      <c r="L1" t="s">
        <v>165</v>
      </c>
      <c r="M1" t="s">
        <v>17</v>
      </c>
    </row>
    <row r="2" spans="1:13" x14ac:dyDescent="0.15">
      <c r="A2" s="25">
        <v>1</v>
      </c>
      <c r="B2" s="25" t="s">
        <v>167</v>
      </c>
      <c r="C2" s="25">
        <v>39407267</v>
      </c>
      <c r="D2" t="s">
        <v>35</v>
      </c>
      <c r="E2" t="str">
        <f>_xlfn.XLOOKUP(D2,产品资料!C:C,产品资料!G:G)</f>
        <v>SPCC冷轧板</v>
      </c>
      <c r="F2" t="str">
        <f>_xlfn.XLOOKUP(D2,产品资料!C:C,产品资料!E:E)</f>
        <v>4609顶盖（0.8MM)</v>
      </c>
      <c r="G2" t="str">
        <f>_xlfn.XLOOKUP(D2,产品资料!C:C,产品资料!F:F)</f>
        <v>0.8*552*1168.5</v>
      </c>
      <c r="H2">
        <v>3663</v>
      </c>
      <c r="I2">
        <f>SUMIFS(生产日报!J:J,生产日报!F:F,C:C,生产日报!G:G,D:D)</f>
        <v>3668</v>
      </c>
      <c r="J2">
        <f t="shared" ref="J2:J25" si="0">H:H-I:I</f>
        <v>-5</v>
      </c>
      <c r="K2" s="17">
        <v>46279</v>
      </c>
    </row>
    <row r="3" spans="1:13" x14ac:dyDescent="0.15">
      <c r="A3" s="25">
        <v>2</v>
      </c>
      <c r="B3" s="25" t="s">
        <v>167</v>
      </c>
      <c r="C3" s="25">
        <v>39407267</v>
      </c>
      <c r="D3" t="s">
        <v>19</v>
      </c>
      <c r="E3" t="str">
        <f>_xlfn.XLOOKUP(D3,产品资料!C:C,产品资料!G:G)</f>
        <v>SPCC冷轧板</v>
      </c>
      <c r="F3" t="str">
        <f>_xlfn.XLOOKUP(D3,产品资料!C:C,产品资料!E:E)</f>
        <v xml:space="preserve">4609底盖小加强板（0.8MM ) </v>
      </c>
      <c r="G3" t="str">
        <f>_xlfn.XLOOKUP(D3,产品资料!C:C,产品资料!F:F)</f>
        <v>0.8*119*1162</v>
      </c>
      <c r="H3">
        <v>3663</v>
      </c>
      <c r="I3">
        <f>SUMIFS(生产日报!J:J,生产日报!F:F,C:C,生产日报!G:G,D:D)</f>
        <v>3666</v>
      </c>
      <c r="J3">
        <f t="shared" si="0"/>
        <v>-3</v>
      </c>
      <c r="K3" s="17">
        <v>46279</v>
      </c>
    </row>
    <row r="4" spans="1:13" x14ac:dyDescent="0.15">
      <c r="A4" s="25">
        <v>3</v>
      </c>
      <c r="B4" s="25" t="s">
        <v>167</v>
      </c>
      <c r="C4" s="25">
        <v>39407267</v>
      </c>
      <c r="D4" t="s">
        <v>25</v>
      </c>
      <c r="E4" t="str">
        <f>_xlfn.XLOOKUP(D4,产品资料!C:C,产品资料!G:G)</f>
        <v>SPCC冷轧板</v>
      </c>
      <c r="F4" t="str">
        <f>_xlfn.XLOOKUP(D4,产品资料!C:C,产品资料!E:E)</f>
        <v>4609底盖大加强板(0.8MM)</v>
      </c>
      <c r="G4" t="str">
        <f>_xlfn.XLOOKUP(D4,产品资料!C:C,产品资料!F:F)</f>
        <v>0.8*172*1162</v>
      </c>
      <c r="H4">
        <v>3663</v>
      </c>
      <c r="I4">
        <f>SUMIFS(生产日报!J:J,生产日报!F:F,C:C,生产日报!G:G,D:D)</f>
        <v>3665</v>
      </c>
      <c r="J4">
        <f t="shared" si="0"/>
        <v>-2</v>
      </c>
      <c r="K4" s="17">
        <v>46279</v>
      </c>
    </row>
    <row r="5" spans="1:13" x14ac:dyDescent="0.15">
      <c r="A5" s="25">
        <v>4</v>
      </c>
      <c r="B5" s="25" t="s">
        <v>167</v>
      </c>
      <c r="C5" s="25">
        <v>39407267</v>
      </c>
      <c r="D5" t="s">
        <v>40</v>
      </c>
      <c r="E5" t="str">
        <f>_xlfn.XLOOKUP(D5,产品资料!C:C,产品资料!G:G)</f>
        <v>SPCC冷轧板</v>
      </c>
      <c r="F5" t="str">
        <f>_xlfn.XLOOKUP(D5,产品资料!C:C,产品资料!E:E)</f>
        <v>4609底盖（0.8MM)</v>
      </c>
      <c r="G5" t="str">
        <f>_xlfn.XLOOKUP(D5,产品资料!C:C,产品资料!F:F)</f>
        <v>0.8*552.5*1211</v>
      </c>
      <c r="H5">
        <v>3663</v>
      </c>
      <c r="I5">
        <f>SUMIFS(生产日报!J:J,生产日报!F:F,C:C,生产日报!G:G,D:D)</f>
        <v>3666</v>
      </c>
      <c r="J5">
        <f t="shared" si="0"/>
        <v>-3</v>
      </c>
      <c r="K5" s="17">
        <v>46279</v>
      </c>
    </row>
    <row r="6" spans="1:13" x14ac:dyDescent="0.15">
      <c r="A6" s="25">
        <v>5</v>
      </c>
      <c r="B6" s="25" t="s">
        <v>167</v>
      </c>
      <c r="C6" s="25">
        <v>39407267</v>
      </c>
      <c r="D6" t="s">
        <v>45</v>
      </c>
      <c r="E6" t="str">
        <f>_xlfn.XLOOKUP(D6,产品资料!C:C,产品资料!G:G)</f>
        <v>SPCC冷轧板</v>
      </c>
      <c r="F6" t="str">
        <f>_xlfn.XLOOKUP(D6,产品资料!C:C,产品资料!E:E)</f>
        <v>4609左侧板(0.8MM)</v>
      </c>
      <c r="G6" t="str">
        <f>_xlfn.XLOOKUP(D6,产品资料!C:C,产品资料!F:F)</f>
        <v>0.8*534.5*789</v>
      </c>
      <c r="H6">
        <v>7326</v>
      </c>
      <c r="I6">
        <f>SUMIFS(生产日报!J:J,生产日报!F:F,C:C,生产日报!G:G,D:D)</f>
        <v>7330</v>
      </c>
      <c r="J6">
        <f t="shared" si="0"/>
        <v>-4</v>
      </c>
      <c r="K6" s="17">
        <v>46279</v>
      </c>
    </row>
    <row r="7" spans="1:13" x14ac:dyDescent="0.15">
      <c r="A7" s="25">
        <v>6</v>
      </c>
      <c r="B7" s="25" t="s">
        <v>167</v>
      </c>
      <c r="C7" s="25">
        <v>39407267</v>
      </c>
      <c r="D7" t="s">
        <v>50</v>
      </c>
      <c r="E7" t="str">
        <f>_xlfn.XLOOKUP(D7,产品资料!C:C,产品资料!G:G)</f>
        <v>SPCC冷轧板</v>
      </c>
      <c r="F7" t="str">
        <f>_xlfn.XLOOKUP(D7,产品资料!C:C,产品资料!E:E)</f>
        <v>4609后盖板(0.8MM)</v>
      </c>
      <c r="G7" t="str">
        <f>_xlfn.XLOOKUP(D7,产品资料!C:C,产品资料!F:F)</f>
        <v>0.8*770.5*1168.5</v>
      </c>
      <c r="H7">
        <v>3663</v>
      </c>
      <c r="I7">
        <f>SUMIFS(生产日报!J:J,生产日报!F:F,C:C,生产日报!G:G,D:D)</f>
        <v>3690</v>
      </c>
      <c r="J7">
        <f t="shared" si="0"/>
        <v>-27</v>
      </c>
      <c r="K7" s="17">
        <v>46279</v>
      </c>
    </row>
    <row r="8" spans="1:13" x14ac:dyDescent="0.15">
      <c r="A8" s="25">
        <v>7</v>
      </c>
      <c r="B8" s="25" t="s">
        <v>167</v>
      </c>
      <c r="C8" s="25">
        <v>39407267</v>
      </c>
      <c r="D8" t="s">
        <v>60</v>
      </c>
      <c r="E8" t="str">
        <f>_xlfn.XLOOKUP(D8,产品资料!C:C,产品资料!G:G)</f>
        <v>SPCC冷轧板</v>
      </c>
      <c r="F8" t="str">
        <f>_xlfn.XLOOKUP(D8,产品资料!C:C,产品资料!E:E)</f>
        <v>4609后内垫板大槽(0.8MM)</v>
      </c>
      <c r="G8" t="str">
        <f>_xlfn.XLOOKUP(D8,产品资料!C:C,产品资料!F:F)</f>
        <v>0.8*145*754.5</v>
      </c>
      <c r="H8">
        <v>7326</v>
      </c>
      <c r="I8">
        <f>SUMIFS(生产日报!J:J,生产日报!F:F,C:C,生产日报!G:G,D:D)</f>
        <v>7330</v>
      </c>
      <c r="J8">
        <f t="shared" si="0"/>
        <v>-4</v>
      </c>
      <c r="K8" s="17">
        <v>46279</v>
      </c>
    </row>
    <row r="9" spans="1:13" x14ac:dyDescent="0.15">
      <c r="A9" s="25">
        <v>8</v>
      </c>
      <c r="B9" s="25" t="s">
        <v>167</v>
      </c>
      <c r="C9" s="25">
        <v>39407267</v>
      </c>
      <c r="D9" t="s">
        <v>55</v>
      </c>
      <c r="E9" t="str">
        <f>_xlfn.XLOOKUP(D9,产品资料!C:C,产品资料!G:G)</f>
        <v>SPCC冷轧板</v>
      </c>
      <c r="F9" t="str">
        <f>_xlfn.XLOOKUP(D9,产品资料!C:C,产品资料!E:E)</f>
        <v>4609左内垫板(0.8MM)</v>
      </c>
      <c r="G9" t="str">
        <f>_xlfn.XLOOKUP(D9,产品资料!C:C,产品资料!F:F)</f>
        <v>0.8*152*662</v>
      </c>
      <c r="H9">
        <v>7326</v>
      </c>
      <c r="I9">
        <f>SUMIFS(生产日报!J:J,生产日报!F:F,C:C,生产日报!G:G,D:D)</f>
        <v>7330</v>
      </c>
      <c r="J9">
        <f t="shared" si="0"/>
        <v>-4</v>
      </c>
      <c r="K9" s="17">
        <v>46279</v>
      </c>
    </row>
    <row r="10" spans="1:13" x14ac:dyDescent="0.15">
      <c r="A10" s="25">
        <v>9</v>
      </c>
      <c r="B10" s="25" t="s">
        <v>167</v>
      </c>
      <c r="C10" s="25">
        <v>39407267</v>
      </c>
      <c r="D10" t="s">
        <v>65</v>
      </c>
      <c r="E10" t="str">
        <f>_xlfn.XLOOKUP(D10,产品资料!C:C,产品资料!G:G)</f>
        <v>SPCC冷轧板</v>
      </c>
      <c r="F10" t="str">
        <f>_xlfn.XLOOKUP(D10,产品资料!C:C,产品资料!E:E)</f>
        <v>4609中隔板(0.8MM)</v>
      </c>
      <c r="G10" t="str">
        <f>_xlfn.XLOOKUP(D10,产品资料!C:C,产品资料!F:F)</f>
        <v>0.8*481.5*550</v>
      </c>
      <c r="H10">
        <v>3663</v>
      </c>
      <c r="I10">
        <f>SUMIFS(生产日报!J:J,生产日报!F:F,C:C,生产日报!G:G,D:D)</f>
        <v>3665</v>
      </c>
      <c r="J10">
        <f t="shared" si="0"/>
        <v>-2</v>
      </c>
      <c r="K10" s="17">
        <v>46279</v>
      </c>
    </row>
    <row r="11" spans="1:13" x14ac:dyDescent="0.15">
      <c r="A11" s="25">
        <v>10</v>
      </c>
      <c r="B11" s="25" t="s">
        <v>167</v>
      </c>
      <c r="C11" s="25">
        <v>39407267</v>
      </c>
      <c r="D11" t="s">
        <v>70</v>
      </c>
      <c r="E11" t="str">
        <f>_xlfn.XLOOKUP(D11,产品资料!C:C,产品资料!G:G)</f>
        <v>SPCC冷轧板</v>
      </c>
      <c r="F11" t="str">
        <f>_xlfn.XLOOKUP(D11,产品资料!C:C,产品资料!E:E)</f>
        <v>4609中隔内垫板(0.8MM)</v>
      </c>
      <c r="G11" t="str">
        <f>_xlfn.XLOOKUP(D11,产品资料!C:C,产品资料!F:F)</f>
        <v>0.8*112*550</v>
      </c>
      <c r="H11">
        <v>3663</v>
      </c>
      <c r="I11">
        <f>SUMIFS(生产日报!J:J,生产日报!F:F,C:C,生产日报!G:G,D:D)</f>
        <v>3665</v>
      </c>
      <c r="J11">
        <f t="shared" si="0"/>
        <v>-2</v>
      </c>
      <c r="K11" s="17">
        <v>46279</v>
      </c>
    </row>
    <row r="12" spans="1:13" x14ac:dyDescent="0.15">
      <c r="A12" s="25">
        <v>11</v>
      </c>
      <c r="B12" s="25" t="s">
        <v>167</v>
      </c>
      <c r="C12" s="25">
        <v>39407267</v>
      </c>
      <c r="D12" t="s">
        <v>75</v>
      </c>
      <c r="E12" t="str">
        <f>_xlfn.XLOOKUP(D12,产品资料!C:C,产品资料!G:G)</f>
        <v>SPCC冷轧板</v>
      </c>
      <c r="F12" t="str">
        <f>_xlfn.XLOOKUP(D12,产品资料!C:C,产品资料!E:E)</f>
        <v>4609中隔内垫板大槽(0.8MM)</v>
      </c>
      <c r="G12" t="str">
        <f>_xlfn.XLOOKUP(D12,产品资料!C:C,产品资料!F:F)</f>
        <v>0.8*137*550</v>
      </c>
      <c r="H12">
        <v>3663</v>
      </c>
      <c r="I12">
        <f>SUMIFS(生产日报!J:J,生产日报!F:F,C:C,生产日报!G:G,D:D)</f>
        <v>3665</v>
      </c>
      <c r="J12">
        <f t="shared" si="0"/>
        <v>-2</v>
      </c>
      <c r="K12" s="17">
        <v>46279</v>
      </c>
    </row>
    <row r="13" spans="1:13" x14ac:dyDescent="0.15">
      <c r="A13" s="25">
        <v>12</v>
      </c>
      <c r="B13" s="25" t="s">
        <v>167</v>
      </c>
      <c r="C13" s="25">
        <v>39407267</v>
      </c>
      <c r="D13" t="s">
        <v>85</v>
      </c>
      <c r="E13" t="str">
        <f>_xlfn.XLOOKUP(D13,产品资料!C:C,产品资料!G:G)</f>
        <v>SPCC冷轧板</v>
      </c>
      <c r="F13" t="str">
        <f>_xlfn.XLOOKUP(D13,产品资料!C:C,产品资料!E:E)</f>
        <v>4609后盖板长加强(0.8MM)</v>
      </c>
      <c r="G13" t="str">
        <f>_xlfn.XLOOKUP(D13,产品资料!C:C,产品资料!F:F)</f>
        <v>0.8*38.5*493</v>
      </c>
      <c r="H13">
        <v>3663</v>
      </c>
      <c r="I13">
        <f>SUMIFS(生产日报!J:J,生产日报!F:F,C:C,生产日报!G:G,D:D)</f>
        <v>3677</v>
      </c>
      <c r="J13">
        <f t="shared" si="0"/>
        <v>-14</v>
      </c>
      <c r="K13" s="17">
        <v>46279</v>
      </c>
    </row>
    <row r="14" spans="1:13" x14ac:dyDescent="0.15">
      <c r="A14" s="25">
        <v>13</v>
      </c>
      <c r="B14" s="25" t="s">
        <v>167</v>
      </c>
      <c r="C14" s="25">
        <v>39407267</v>
      </c>
      <c r="D14" t="s">
        <v>30</v>
      </c>
      <c r="E14" t="str">
        <f>_xlfn.XLOOKUP(D14,产品资料!C:C,产品资料!G:G)</f>
        <v>SPCC冷轧板</v>
      </c>
      <c r="F14" t="str">
        <f>_xlfn.XLOOKUP(D14,产品资料!C:C,产品资料!E:E)</f>
        <v>4609竖槽（0.8MM)</v>
      </c>
      <c r="G14" t="str">
        <f>_xlfn.XLOOKUP(D14,产品资料!C:C,产品资料!F:F)</f>
        <v>0.8*69*563</v>
      </c>
      <c r="H14">
        <v>3663</v>
      </c>
      <c r="I14">
        <f>SUMIFS(生产日报!J:J,生产日报!F:F,C:C,生产日报!G:G,D:D)</f>
        <v>3671</v>
      </c>
      <c r="J14">
        <f t="shared" si="0"/>
        <v>-8</v>
      </c>
      <c r="K14" s="17">
        <v>46279</v>
      </c>
    </row>
    <row r="15" spans="1:13" x14ac:dyDescent="0.15">
      <c r="A15" s="25">
        <v>14</v>
      </c>
      <c r="B15" s="25" t="s">
        <v>167</v>
      </c>
      <c r="C15" s="25">
        <v>39407267</v>
      </c>
      <c r="D15" t="s">
        <v>130</v>
      </c>
      <c r="E15" t="str">
        <f>_xlfn.XLOOKUP(D15,产品资料!C:C,产品资料!G:G)</f>
        <v>SPCC冷轧板</v>
      </c>
      <c r="F15" t="str">
        <f>_xlfn.XLOOKUP(D15,产品资料!C:C,产品资料!E:E)</f>
        <v>4609横槽(0.9MM)</v>
      </c>
      <c r="G15" t="str">
        <f>_xlfn.XLOOKUP(D15,产品资料!C:C,产品资料!F:F)</f>
        <v>0.9*86.5*1168.5</v>
      </c>
      <c r="H15">
        <v>3663</v>
      </c>
      <c r="I15">
        <f>SUMIFS(生产日报!J:J,生产日报!F:F,C:C,生产日报!G:G,D:D)</f>
        <v>3670</v>
      </c>
      <c r="J15">
        <f t="shared" si="0"/>
        <v>-7</v>
      </c>
      <c r="K15" s="17">
        <v>46279</v>
      </c>
    </row>
    <row r="16" spans="1:13" x14ac:dyDescent="0.15">
      <c r="A16" s="25">
        <v>15</v>
      </c>
      <c r="B16" s="25" t="s">
        <v>167</v>
      </c>
      <c r="C16" s="25">
        <v>39407267</v>
      </c>
      <c r="D16" t="s">
        <v>135</v>
      </c>
      <c r="E16" t="str">
        <f>_xlfn.XLOOKUP(D16,产品资料!C:C,产品资料!G:G)</f>
        <v>SPCC冷轧板</v>
      </c>
      <c r="F16" t="str">
        <f>_xlfn.XLOOKUP(D16,产品资料!C:C,产品资料!E:E)</f>
        <v>4609后排锁座(0.5)</v>
      </c>
      <c r="G16" t="str">
        <f>_xlfn.XLOOKUP(D16,产品资料!C:C,产品资料!F:F)</f>
        <v>0.5*110*755</v>
      </c>
      <c r="H16">
        <v>7326</v>
      </c>
      <c r="I16">
        <f>SUMIFS(生产日报!J:J,生产日报!F:F,C:C,生产日报!G:G,D:D)</f>
        <v>7333</v>
      </c>
      <c r="J16">
        <f t="shared" si="0"/>
        <v>-7</v>
      </c>
      <c r="K16" s="17">
        <v>46279</v>
      </c>
    </row>
    <row r="17" spans="1:11" x14ac:dyDescent="0.15">
      <c r="A17" s="25">
        <v>16</v>
      </c>
      <c r="B17" s="25" t="s">
        <v>167</v>
      </c>
      <c r="C17" s="25">
        <v>39407267</v>
      </c>
      <c r="D17" t="s">
        <v>140</v>
      </c>
      <c r="E17" t="str">
        <f>_xlfn.XLOOKUP(D17,产品资料!C:C,产品资料!G:G)</f>
        <v>SGCC镀锌板</v>
      </c>
      <c r="F17" t="str">
        <f>_xlfn.XLOOKUP(D17,产品资料!C:C,产品资料!E:E)</f>
        <v>4609平衡杆(镀锌0.9)</v>
      </c>
      <c r="G17" t="str">
        <f>_xlfn.XLOOKUP(D17,产品资料!C:C,产品资料!F:F)</f>
        <v>0.9*74*658</v>
      </c>
      <c r="H17">
        <v>3663</v>
      </c>
      <c r="I17">
        <f>SUMIFS(生产日报!J:J,生产日报!F:F,C:C,生产日报!G:G,D:D)</f>
        <v>3673</v>
      </c>
      <c r="J17">
        <f t="shared" si="0"/>
        <v>-10</v>
      </c>
      <c r="K17" s="17">
        <v>46279</v>
      </c>
    </row>
    <row r="18" spans="1:11" x14ac:dyDescent="0.15">
      <c r="A18" s="25">
        <v>17</v>
      </c>
      <c r="B18" s="25" t="s">
        <v>167</v>
      </c>
      <c r="C18" s="25">
        <v>39407267</v>
      </c>
      <c r="D18" t="s">
        <v>90</v>
      </c>
      <c r="E18" t="str">
        <f>_xlfn.XLOOKUP(D18,产品资料!C:C,产品资料!G:G)</f>
        <v>SPCC冷轧板</v>
      </c>
      <c r="F18" t="str">
        <f>_xlfn.XLOOKUP(D18,产品资料!C:C,产品资料!E:E)</f>
        <v>4609顶长抽斗(0.8MM)</v>
      </c>
      <c r="G18" t="str">
        <f>_xlfn.XLOOKUP(D18,产品资料!C:C,产品资料!F:F)</f>
        <v>0.8*418*1210</v>
      </c>
      <c r="H18">
        <v>3663</v>
      </c>
      <c r="I18">
        <f>SUMIFS(生产日报!J:J,生产日报!F:F,C:C,生产日报!G:G,D:D)</f>
        <v>3665</v>
      </c>
      <c r="J18">
        <f t="shared" si="0"/>
        <v>-2</v>
      </c>
      <c r="K18" s="17">
        <v>46279</v>
      </c>
    </row>
    <row r="19" spans="1:11" x14ac:dyDescent="0.15">
      <c r="A19" s="25">
        <v>18</v>
      </c>
      <c r="B19" s="25" t="s">
        <v>167</v>
      </c>
      <c r="C19" s="25">
        <v>39407267</v>
      </c>
      <c r="D19" t="s">
        <v>95</v>
      </c>
      <c r="E19" t="str">
        <f>_xlfn.XLOOKUP(D19,产品资料!C:C,产品资料!G:G)</f>
        <v>SPCC冷轧板</v>
      </c>
      <c r="F19" t="str">
        <f>_xlfn.XLOOKUP(D19,产品资料!C:C,产品资料!E:E)</f>
        <v>4609顶长拉手（0.8MM ）</v>
      </c>
      <c r="G19" t="str">
        <f>_xlfn.XLOOKUP(D19,产品资料!C:C,产品资料!F:F)</f>
        <v>0.8*168*1076</v>
      </c>
      <c r="H19">
        <v>3663</v>
      </c>
      <c r="I19">
        <f>SUMIFS(生产日报!J:J,生产日报!F:F,C:C,生产日报!G:G,D:D)</f>
        <v>3665</v>
      </c>
      <c r="J19">
        <f t="shared" si="0"/>
        <v>-2</v>
      </c>
      <c r="K19" s="17">
        <v>46279</v>
      </c>
    </row>
    <row r="20" spans="1:11" x14ac:dyDescent="0.15">
      <c r="A20" s="25">
        <v>19</v>
      </c>
      <c r="B20" s="25" t="s">
        <v>167</v>
      </c>
      <c r="C20" s="25">
        <v>39407267</v>
      </c>
      <c r="D20" t="s">
        <v>100</v>
      </c>
      <c r="E20" t="str">
        <f>_xlfn.XLOOKUP(D20,产品资料!C:C,产品资料!G:G)</f>
        <v>SPCC冷轧板</v>
      </c>
      <c r="F20" t="str">
        <f>_xlfn.XLOOKUP(D20,产品资料!C:C,产品资料!E:E)</f>
        <v>4609小抽斗(0.8MM)</v>
      </c>
      <c r="G20" t="str">
        <f>_xlfn.XLOOKUP(D20,产品资料!C:C,产品资料!F:F)</f>
        <v>0.8*418*603</v>
      </c>
      <c r="H20">
        <v>14652</v>
      </c>
      <c r="I20">
        <f>SUMIFS(生产日报!J:J,生产日报!F:F,C:C,生产日报!G:G,D:D)</f>
        <v>14655</v>
      </c>
      <c r="J20">
        <f t="shared" si="0"/>
        <v>-3</v>
      </c>
      <c r="K20" s="17">
        <v>46279</v>
      </c>
    </row>
    <row r="21" spans="1:11" x14ac:dyDescent="0.15">
      <c r="A21" s="25">
        <v>20</v>
      </c>
      <c r="B21" s="25" t="s">
        <v>167</v>
      </c>
      <c r="C21" s="25">
        <v>39407267</v>
      </c>
      <c r="D21" t="s">
        <v>105</v>
      </c>
      <c r="E21" t="str">
        <f>_xlfn.XLOOKUP(D21,产品资料!C:C,产品资料!G:G)</f>
        <v>SPCC冷轧板</v>
      </c>
      <c r="F21" t="str">
        <f>_xlfn.XLOOKUP(D21,产品资料!C:C,产品资料!E:E)</f>
        <v>4609小拉手(0.8MM）</v>
      </c>
      <c r="G21" t="str">
        <f>_xlfn.XLOOKUP(D21,产品资料!C:C,产品资料!F:F)</f>
        <v>0.8*142*515</v>
      </c>
      <c r="H21">
        <v>14652</v>
      </c>
      <c r="I21">
        <f>SUMIFS(生产日报!J:J,生产日报!F:F,C:C,生产日报!G:G,D:D)</f>
        <v>14656</v>
      </c>
      <c r="J21">
        <f t="shared" si="0"/>
        <v>-4</v>
      </c>
      <c r="K21" s="17">
        <v>46279</v>
      </c>
    </row>
    <row r="22" spans="1:11" x14ac:dyDescent="0.15">
      <c r="A22" s="25">
        <v>21</v>
      </c>
      <c r="B22" s="25" t="s">
        <v>167</v>
      </c>
      <c r="C22" s="25">
        <v>39407267</v>
      </c>
      <c r="D22" t="s">
        <v>115</v>
      </c>
      <c r="E22" t="str">
        <f>_xlfn.XLOOKUP(D22,产品资料!C:C,产品资料!G:G)</f>
        <v>SPCC冷轧板</v>
      </c>
      <c r="F22" t="str">
        <f>_xlfn.XLOOKUP(D22,产品资料!C:C,产品资料!E:E)</f>
        <v>4609中拉手(0.8MM）</v>
      </c>
      <c r="G22" t="str">
        <f>_xlfn.XLOOKUP(D22,产品资料!C:C,产品资料!F:F)</f>
        <v>0.8*155*515</v>
      </c>
      <c r="H22">
        <v>7326</v>
      </c>
      <c r="I22">
        <f>SUMIFS(生产日报!J:J,生产日报!F:F,C:C,生产日报!G:G,D:D)</f>
        <v>7336</v>
      </c>
      <c r="J22">
        <f t="shared" si="0"/>
        <v>-10</v>
      </c>
      <c r="K22" s="17">
        <v>46279</v>
      </c>
    </row>
    <row r="23" spans="1:11" x14ac:dyDescent="0.15">
      <c r="A23" s="25">
        <v>22</v>
      </c>
      <c r="B23" s="25" t="s">
        <v>167</v>
      </c>
      <c r="C23" s="25">
        <v>39407267</v>
      </c>
      <c r="D23" t="s">
        <v>110</v>
      </c>
      <c r="E23" t="str">
        <f>_xlfn.XLOOKUP(D23,产品资料!C:C,产品资料!G:G)</f>
        <v>SPCC冷轧板</v>
      </c>
      <c r="F23" t="str">
        <f>_xlfn.XLOOKUP(D23,产品资料!C:C,产品资料!E:E)</f>
        <v>4609中抽斗(0.8MM)</v>
      </c>
      <c r="G23" t="str">
        <f>_xlfn.XLOOKUP(D23,产品资料!C:C,产品资料!F:F)</f>
        <v>0.8*418*639</v>
      </c>
      <c r="H23">
        <v>7326</v>
      </c>
      <c r="I23">
        <f>SUMIFS(生产日报!J:J,生产日报!F:F,C:C,生产日报!G:G,D:D)</f>
        <v>7328</v>
      </c>
      <c r="J23">
        <f t="shared" si="0"/>
        <v>-2</v>
      </c>
      <c r="K23" s="17">
        <v>46279</v>
      </c>
    </row>
    <row r="24" spans="1:11" x14ac:dyDescent="0.15">
      <c r="A24" s="25">
        <v>23</v>
      </c>
      <c r="B24" s="25" t="s">
        <v>167</v>
      </c>
      <c r="C24" s="25">
        <v>39407267</v>
      </c>
      <c r="D24" t="s">
        <v>120</v>
      </c>
      <c r="E24" t="str">
        <f>_xlfn.XLOOKUP(D24,产品资料!C:C,产品资料!G:G)</f>
        <v>SPCC冷轧板</v>
      </c>
      <c r="F24" t="str">
        <f>_xlfn.XLOOKUP(D24,产品资料!C:C,产品资料!E:E)</f>
        <v>4609大抽斗(0.8MM)</v>
      </c>
      <c r="G24" t="str">
        <f>_xlfn.XLOOKUP(D24,产品资料!C:C,产品资料!F:F)</f>
        <v>0.8*418*919</v>
      </c>
      <c r="H24">
        <v>7326</v>
      </c>
      <c r="I24">
        <f>SUMIFS(生产日报!J:J,生产日报!F:F,C:C,生产日报!G:G,D:D)</f>
        <v>7328</v>
      </c>
      <c r="J24">
        <f t="shared" si="0"/>
        <v>-2</v>
      </c>
      <c r="K24" s="17">
        <v>46279</v>
      </c>
    </row>
    <row r="25" spans="1:11" x14ac:dyDescent="0.15">
      <c r="A25" s="25">
        <v>24</v>
      </c>
      <c r="B25" s="25" t="s">
        <v>167</v>
      </c>
      <c r="C25" s="25">
        <v>39407267</v>
      </c>
      <c r="D25" t="s">
        <v>125</v>
      </c>
      <c r="E25" t="str">
        <f>_xlfn.XLOOKUP(D25,产品资料!C:C,产品资料!G:G)</f>
        <v>SPCC冷轧板</v>
      </c>
      <c r="F25" t="str">
        <f>_xlfn.XLOOKUP(D25,产品资料!C:C,产品资料!E:E)</f>
        <v>4609大拉手(0.8MM）</v>
      </c>
      <c r="G25" t="str">
        <f>_xlfn.XLOOKUP(D25,产品资料!C:C,产品资料!F:F)</f>
        <v>0.8*303*515</v>
      </c>
      <c r="H25">
        <v>7326</v>
      </c>
      <c r="I25">
        <f>SUMIFS(生产日报!J:J,生产日报!F:F,C:C,生产日报!G:G,D:D)</f>
        <v>7329</v>
      </c>
      <c r="J25">
        <f t="shared" si="0"/>
        <v>-3</v>
      </c>
      <c r="K25" s="17">
        <v>46279</v>
      </c>
    </row>
  </sheetData>
  <autoFilter ref="A1:N25" xr:uid="{00000000-0009-0000-0000-000002000000}"/>
  <phoneticPr fontId="14" type="noConversion"/>
  <pageMargins left="0.7" right="0.7" top="0.75" bottom="0.75" header="0.3" footer="0.3"/>
  <pageSetup paperSize="262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B0F0"/>
    <pageSetUpPr fitToPage="1"/>
  </sheetPr>
  <dimension ref="A4:R351"/>
  <sheetViews>
    <sheetView tabSelected="1" workbookViewId="0">
      <pane ySplit="4" topLeftCell="A327" activePane="bottomLeft" state="frozen"/>
      <selection pane="bottomLeft" activeCell="H334" sqref="H334"/>
    </sheetView>
  </sheetViews>
  <sheetFormatPr defaultColWidth="9" defaultRowHeight="14.25" customHeight="1" x14ac:dyDescent="0.15"/>
  <cols>
    <col min="1" max="1" width="5.5" customWidth="1"/>
    <col min="2" max="2" width="12.875" style="21" customWidth="1"/>
    <col min="3" max="3" width="5.5" customWidth="1"/>
    <col min="4" max="4" width="8.5" customWidth="1"/>
    <col min="5" max="5" width="19" customWidth="1"/>
    <col min="6" max="6" width="9.5" style="26" customWidth="1"/>
    <col min="7" max="7" width="11.625" customWidth="1"/>
    <col min="8" max="8" width="31.5" customWidth="1"/>
    <col min="9" max="9" width="17.75" style="23" customWidth="1"/>
    <col min="10" max="10" width="8.5" customWidth="1"/>
    <col min="11" max="11" width="10.25" customWidth="1"/>
    <col min="12" max="12" width="9.5" customWidth="1"/>
    <col min="13" max="13" width="12.75" style="31" customWidth="1"/>
    <col min="14" max="14" width="9.5" customWidth="1"/>
    <col min="15" max="15" width="32.875" style="32" customWidth="1"/>
    <col min="16" max="16" width="11.5" style="23" customWidth="1"/>
    <col min="17" max="17" width="6.125" customWidth="1"/>
    <col min="18" max="18" width="9" customWidth="1"/>
  </cols>
  <sheetData>
    <row r="4" spans="1:18" ht="28.5" x14ac:dyDescent="0.15">
      <c r="A4" t="s">
        <v>0</v>
      </c>
      <c r="B4" s="21" t="s">
        <v>168</v>
      </c>
      <c r="C4" t="s">
        <v>169</v>
      </c>
      <c r="D4" s="24" t="s">
        <v>170</v>
      </c>
      <c r="E4" t="s">
        <v>171</v>
      </c>
      <c r="F4" s="26" t="s">
        <v>158</v>
      </c>
      <c r="G4" t="s">
        <v>2</v>
      </c>
      <c r="H4" t="s">
        <v>159</v>
      </c>
      <c r="I4" s="23" t="s">
        <v>160</v>
      </c>
      <c r="J4" s="24" t="s">
        <v>172</v>
      </c>
      <c r="K4" s="24" t="s">
        <v>173</v>
      </c>
      <c r="L4" s="24" t="s">
        <v>174</v>
      </c>
      <c r="M4" s="33" t="s">
        <v>175</v>
      </c>
      <c r="N4" s="24" t="s">
        <v>12</v>
      </c>
      <c r="O4" s="32" t="s">
        <v>17</v>
      </c>
      <c r="P4" s="23" t="s">
        <v>176</v>
      </c>
      <c r="Q4" s="24" t="s">
        <v>177</v>
      </c>
      <c r="R4" t="s">
        <v>17</v>
      </c>
    </row>
    <row r="5" spans="1:18" ht="14.25" customHeight="1" x14ac:dyDescent="0.15">
      <c r="A5">
        <v>1</v>
      </c>
      <c r="B5" s="21">
        <v>46116</v>
      </c>
      <c r="C5" t="s">
        <v>178</v>
      </c>
      <c r="D5" s="24" t="s">
        <v>182</v>
      </c>
      <c r="E5" t="s">
        <v>184</v>
      </c>
      <c r="F5" s="26">
        <v>39407267</v>
      </c>
      <c r="G5" t="s">
        <v>85</v>
      </c>
      <c r="H5" t="str">
        <f>_xlfn.XLOOKUP(G5,产品资料!C:C,产品资料!E:E)</f>
        <v>4609后盖板长加强(0.8MM)</v>
      </c>
      <c r="I5" s="23" t="str">
        <f>_xlfn.XLOOKUP(G5,产品资料!C:C,产品资料!F:F)</f>
        <v>0.8*38.5*493</v>
      </c>
      <c r="J5">
        <f>102*Q5-K5</f>
        <v>2008</v>
      </c>
      <c r="K5">
        <v>32</v>
      </c>
      <c r="L5" s="28">
        <f>_xlfn.XLOOKUP(G5,产品资料!C:C,产品资料!O:O)*J5</f>
        <v>238.96404799999999</v>
      </c>
      <c r="M5" s="31">
        <f>IFERROR(_xlfn.XLOOKUP(G5,产品资料!C:C,产品资料!L:L)*J5,0)</f>
        <v>2134.5039999999999</v>
      </c>
      <c r="N5">
        <f>IFERROR(_xlfn.XLOOKUP(G5,产品资料!C:C,产品资料!M:M)*J5,0)</f>
        <v>4016</v>
      </c>
      <c r="O5" s="34" t="s">
        <v>185</v>
      </c>
      <c r="P5" s="23">
        <f>IF(ISNUMBER(SEARCH("合包",R5)),SUMIFS(J:J,G:G,G:G,F:F,F:F)-SUMIFS(打包记录!J:J,打包记录!G:G,G:G,打包记录!F:F,F:F),SUMIFS(J:J,D:D,D:D,G:G,G:G,F:F,F:F)-SUMIFS(打包记录!J:J,打包记录!D:D,D:D,打包记录!G:G,G:G,打包记录!F:F,F:F))</f>
        <v>14</v>
      </c>
      <c r="Q5">
        <v>20</v>
      </c>
      <c r="R5" t="s">
        <v>166</v>
      </c>
    </row>
    <row r="6" spans="1:18" ht="14.25" customHeight="1" x14ac:dyDescent="0.15">
      <c r="A6">
        <v>2</v>
      </c>
      <c r="B6" s="21">
        <v>46116</v>
      </c>
      <c r="C6" t="s">
        <v>180</v>
      </c>
      <c r="D6" s="24" t="s">
        <v>182</v>
      </c>
      <c r="E6" t="s">
        <v>184</v>
      </c>
      <c r="F6" s="26">
        <v>39407267</v>
      </c>
      <c r="G6" t="s">
        <v>85</v>
      </c>
      <c r="H6" t="str">
        <f>_xlfn.XLOOKUP(G6,产品资料!C:C,产品资料!E:E)</f>
        <v>4609后盖板长加强(0.8MM)</v>
      </c>
      <c r="I6" s="23" t="str">
        <f>_xlfn.XLOOKUP(G6,产品资料!C:C,产品资料!F:F)</f>
        <v>0.8*38.5*493</v>
      </c>
      <c r="J6">
        <v>1669</v>
      </c>
      <c r="L6" s="28">
        <f>_xlfn.XLOOKUP(G6,产品资料!C:C,产品资料!O:O)*J6</f>
        <v>198.621014</v>
      </c>
      <c r="M6" s="31">
        <f>IFERROR(_xlfn.XLOOKUP(G6,产品资料!C:C,产品资料!L:L)*J6,0)</f>
        <v>1774.1469999999999</v>
      </c>
      <c r="N6">
        <f>IFERROR(_xlfn.XLOOKUP(G6,产品资料!C:C,产品资料!M:M)*J6,0)</f>
        <v>3338</v>
      </c>
      <c r="O6" s="35" t="s">
        <v>186</v>
      </c>
    </row>
    <row r="7" spans="1:18" ht="14.25" customHeight="1" x14ac:dyDescent="0.15">
      <c r="A7">
        <v>3</v>
      </c>
      <c r="B7" s="21">
        <v>46189</v>
      </c>
      <c r="C7" t="s">
        <v>191</v>
      </c>
      <c r="D7" s="24" t="s">
        <v>182</v>
      </c>
      <c r="E7" t="s">
        <v>193</v>
      </c>
      <c r="F7">
        <v>39407267</v>
      </c>
      <c r="G7" t="s">
        <v>135</v>
      </c>
      <c r="H7" t="str">
        <f>_xlfn.XLOOKUP(G7,产品资料!C:C,产品资料!E:E)</f>
        <v>4609后排锁座(0.5)</v>
      </c>
      <c r="I7" s="23" t="str">
        <f>_xlfn.XLOOKUP(G7,产品资料!C:C,产品资料!F:F)</f>
        <v>0.5*110*755</v>
      </c>
      <c r="J7">
        <f>48*Q7-K7</f>
        <v>6256</v>
      </c>
      <c r="K7">
        <v>80</v>
      </c>
      <c r="L7" s="28">
        <f>_xlfn.XLOOKUP(G7,产品资料!C:C,产品资料!O:O)*J7</f>
        <v>2012.2658599999997</v>
      </c>
      <c r="M7" s="31">
        <f>IFERROR(_xlfn.XLOOKUP(G7,产品资料!C:C,产品资料!L:L)*J7,0)</f>
        <v>11573.6</v>
      </c>
      <c r="N7">
        <f>IFERROR(_xlfn.XLOOKUP(G7,产品资料!C:C,产品资料!M:M)*J7,0)</f>
        <v>0</v>
      </c>
      <c r="O7" s="32" t="s">
        <v>194</v>
      </c>
      <c r="P7" s="23">
        <f>IF(ISNUMBER(SEARCH("合包",R7)),SUMIFS(J:J,G:G,G:G,F:F,F:F)-SUMIFS(打包记录!J:J,打包记录!G:G,G:G,打包记录!F:F,F:F),SUMIFS(J:J,D:D,D:D,G:G,G:G,F:F,F:F)-SUMIFS(打包记录!J:J,打包记录!D:D,D:D,打包记录!G:G,G:G,打包记录!F:F,F:F))</f>
        <v>0</v>
      </c>
      <c r="Q7">
        <v>132</v>
      </c>
    </row>
    <row r="8" spans="1:18" ht="14.25" customHeight="1" x14ac:dyDescent="0.15">
      <c r="A8">
        <v>4</v>
      </c>
      <c r="B8" s="21">
        <v>46204</v>
      </c>
      <c r="C8" t="s">
        <v>190</v>
      </c>
      <c r="D8" t="s">
        <v>179</v>
      </c>
      <c r="E8" t="s">
        <v>196</v>
      </c>
      <c r="F8">
        <v>39407267</v>
      </c>
      <c r="G8" t="s">
        <v>30</v>
      </c>
      <c r="H8" t="str">
        <f>_xlfn.XLOOKUP(G8,产品资料!C:C,产品资料!E:E)</f>
        <v>4609竖槽（0.8MM)</v>
      </c>
      <c r="I8" s="23" t="str">
        <f>_xlfn.XLOOKUP(G8,产品资料!C:C,产品资料!F:F)</f>
        <v>0.8*69*563</v>
      </c>
      <c r="J8">
        <f>139*Q8-K8-1130</f>
        <v>260</v>
      </c>
      <c r="L8" s="28">
        <f>_xlfn.XLOOKUP(G8,产品资料!C:C,产品资料!O:O)*J8</f>
        <v>60.495239999999995</v>
      </c>
      <c r="M8" s="31">
        <f>IFERROR(_xlfn.XLOOKUP(G8,产品资料!C:C,产品资料!L:L)*J8,0)</f>
        <v>330.46</v>
      </c>
      <c r="N8">
        <f>IFERROR(_xlfn.XLOOKUP(G8,产品资料!C:C,产品资料!M:M)*J8,0)</f>
        <v>0</v>
      </c>
      <c r="O8" s="51"/>
      <c r="P8" s="23">
        <f>IF(ISNUMBER(SEARCH("合包",R8)),SUMIFS(J:J,G:G,G:G,F:F,F:F)-SUMIFS(打包记录!J:J,打包记录!G:G,G:G,打包记录!F:F,F:F),SUMIFS(J:J,D:D,D:D,G:G,G:G,F:F,F:F)-SUMIFS(打包记录!J:J,打包记录!D:D,D:D,打包记录!G:G,G:G,打包记录!F:F,F:F))</f>
        <v>8</v>
      </c>
      <c r="Q8">
        <v>10</v>
      </c>
    </row>
    <row r="9" spans="1:18" ht="14.25" customHeight="1" x14ac:dyDescent="0.15">
      <c r="A9">
        <v>5</v>
      </c>
      <c r="B9" s="21">
        <v>46205</v>
      </c>
      <c r="C9" t="s">
        <v>189</v>
      </c>
      <c r="D9" t="s">
        <v>179</v>
      </c>
      <c r="E9" t="s">
        <v>197</v>
      </c>
      <c r="F9">
        <v>39407267</v>
      </c>
      <c r="G9" t="s">
        <v>30</v>
      </c>
      <c r="H9" t="str">
        <f>_xlfn.XLOOKUP(G9,产品资料!C:C,产品资料!E:E)</f>
        <v>4609竖槽（0.8MM)</v>
      </c>
      <c r="I9" s="23" t="str">
        <f>_xlfn.XLOOKUP(G9,产品资料!C:C,产品资料!F:F)</f>
        <v>0.8*69*563</v>
      </c>
      <c r="J9">
        <f>160*Q9-K9</f>
        <v>1578</v>
      </c>
      <c r="K9">
        <v>22</v>
      </c>
      <c r="L9" s="28">
        <f>_xlfn.XLOOKUP(G9,产品资料!C:C,产品资料!O:O)*J9</f>
        <v>367.15957199999997</v>
      </c>
      <c r="M9" s="31">
        <f>IFERROR(_xlfn.XLOOKUP(G9,产品资料!C:C,产品资料!L:L)*J9,0)</f>
        <v>2005.6379999999999</v>
      </c>
      <c r="N9">
        <f>IFERROR(_xlfn.XLOOKUP(G9,产品资料!C:C,产品资料!M:M)*J9,0)</f>
        <v>0</v>
      </c>
      <c r="O9" s="32" t="s">
        <v>198</v>
      </c>
      <c r="P9" s="23">
        <f>IF(ISNUMBER(SEARCH("合包",R9)),SUMIFS(J:J,G:G,G:G,F:F,F:F)-SUMIFS(打包记录!J:J,打包记录!G:G,G:G,打包记录!F:F,F:F),SUMIFS(J:J,D:D,D:D,G:G,G:G,F:F,F:F)-SUMIFS(打包记录!J:J,打包记录!D:D,D:D,打包记录!G:G,G:G,打包记录!F:F,F:F))</f>
        <v>8</v>
      </c>
      <c r="Q9">
        <v>10</v>
      </c>
    </row>
    <row r="10" spans="1:18" ht="14.25" customHeight="1" x14ac:dyDescent="0.15">
      <c r="A10">
        <v>6</v>
      </c>
      <c r="B10" s="21">
        <v>46205</v>
      </c>
      <c r="C10" t="s">
        <v>190</v>
      </c>
      <c r="D10" t="s">
        <v>179</v>
      </c>
      <c r="E10" t="s">
        <v>197</v>
      </c>
      <c r="F10">
        <v>39407267</v>
      </c>
      <c r="G10" t="s">
        <v>30</v>
      </c>
      <c r="H10" t="str">
        <f>_xlfn.XLOOKUP(G10,产品资料!C:C,产品资料!E:E)</f>
        <v>4609竖槽（0.8MM)</v>
      </c>
      <c r="I10" s="23" t="str">
        <f>_xlfn.XLOOKUP(G10,产品资料!C:C,产品资料!F:F)</f>
        <v>0.8*69*563</v>
      </c>
      <c r="J10">
        <f>145*Q10-K10</f>
        <v>1443</v>
      </c>
      <c r="K10">
        <v>7</v>
      </c>
      <c r="L10" s="28">
        <f>_xlfn.XLOOKUP(G10,产品资料!C:C,产品资料!O:O)*J10</f>
        <v>335.748582</v>
      </c>
      <c r="M10" s="31">
        <f>IFERROR(_xlfn.XLOOKUP(G10,产品资料!C:C,产品资料!L:L)*J10,0)</f>
        <v>1834.0529999999999</v>
      </c>
      <c r="N10">
        <f>IFERROR(_xlfn.XLOOKUP(G10,产品资料!C:C,产品资料!M:M)*J10,0)</f>
        <v>0</v>
      </c>
      <c r="O10" s="32" t="s">
        <v>199</v>
      </c>
      <c r="P10" s="23">
        <f>IF(ISNUMBER(SEARCH("合包",R10)),SUMIFS(J:J,G:G,G:G,F:F,F:F)-SUMIFS(打包记录!J:J,打包记录!G:G,G:G,打包记录!F:F,F:F),SUMIFS(J:J,D:D,D:D,G:G,G:G,F:F,F:F)-SUMIFS(打包记录!J:J,打包记录!D:D,D:D,打包记录!G:G,G:G,打包记录!F:F,F:F))</f>
        <v>8</v>
      </c>
      <c r="Q10">
        <v>10</v>
      </c>
    </row>
    <row r="11" spans="1:18" ht="14.25" customHeight="1" x14ac:dyDescent="0.15">
      <c r="A11">
        <v>7</v>
      </c>
      <c r="B11" s="21">
        <v>46206</v>
      </c>
      <c r="C11" t="s">
        <v>189</v>
      </c>
      <c r="D11" t="s">
        <v>179</v>
      </c>
      <c r="E11" t="s">
        <v>200</v>
      </c>
      <c r="F11">
        <v>39407267</v>
      </c>
      <c r="G11" t="s">
        <v>30</v>
      </c>
      <c r="H11" t="str">
        <f>_xlfn.XLOOKUP(G11,产品资料!C:C,产品资料!E:E)</f>
        <v>4609竖槽（0.8MM)</v>
      </c>
      <c r="I11" s="23" t="str">
        <f>_xlfn.XLOOKUP(G11,产品资料!C:C,产品资料!F:F)</f>
        <v>0.8*69*563</v>
      </c>
      <c r="J11">
        <f>39*Q11-K11</f>
        <v>390</v>
      </c>
      <c r="L11" s="28">
        <f>_xlfn.XLOOKUP(G11,产品资料!C:C,产品资料!O:O)*J11</f>
        <v>90.742859999999993</v>
      </c>
      <c r="M11" s="31">
        <f>IFERROR(_xlfn.XLOOKUP(G11,产品资料!C:C,产品资料!L:L)*J11,0)</f>
        <v>495.68999999999994</v>
      </c>
      <c r="N11">
        <f>IFERROR(_xlfn.XLOOKUP(G11,产品资料!C:C,产品资料!M:M)*J11,0)</f>
        <v>0</v>
      </c>
      <c r="O11" s="32" t="s">
        <v>201</v>
      </c>
      <c r="P11" s="23">
        <f>IF(ISNUMBER(SEARCH("合包",R11)),SUMIFS(J:J,G:G,G:G,F:F,F:F)-SUMIFS(打包记录!J:J,打包记录!G:G,G:G,打包记录!F:F,F:F),SUMIFS(J:J,D:D,D:D,G:G,G:G,F:F,F:F)-SUMIFS(打包记录!J:J,打包记录!D:D,D:D,打包记录!G:G,G:G,打包记录!F:F,F:F))</f>
        <v>8</v>
      </c>
      <c r="Q11">
        <v>10</v>
      </c>
    </row>
    <row r="12" spans="1:18" ht="14.25" customHeight="1" x14ac:dyDescent="0.15">
      <c r="A12">
        <v>8</v>
      </c>
      <c r="B12" s="21">
        <v>46221</v>
      </c>
      <c r="C12" t="s">
        <v>191</v>
      </c>
      <c r="D12" s="24" t="s">
        <v>182</v>
      </c>
      <c r="E12" t="s">
        <v>202</v>
      </c>
      <c r="F12">
        <v>39407267</v>
      </c>
      <c r="G12" t="s">
        <v>140</v>
      </c>
      <c r="H12" t="str">
        <f>_xlfn.XLOOKUP(G12,产品资料!C:C,产品资料!E:E)</f>
        <v>4609平衡杆(镀锌0.9)</v>
      </c>
      <c r="I12" s="23" t="str">
        <f>_xlfn.XLOOKUP(G12,产品资料!C:C,产品资料!F:F)</f>
        <v>0.9*74*658</v>
      </c>
      <c r="J12">
        <f>14.5*Q12-K12-32</f>
        <v>3673</v>
      </c>
      <c r="K12">
        <v>7</v>
      </c>
      <c r="L12" s="28">
        <f>_xlfn.XLOOKUP(G12,产品资料!C:C,产品资料!O:O)*J12</f>
        <v>1243.2522829500001</v>
      </c>
      <c r="M12" s="31">
        <f>IFERROR(_xlfn.XLOOKUP(G12,产品资料!C:C,产品资料!L:L)*J12,0)</f>
        <v>5380.9450000000006</v>
      </c>
      <c r="N12">
        <f>IFERROR(_xlfn.XLOOKUP(G12,产品资料!C:C,产品资料!M:M)*J12,0)</f>
        <v>11019</v>
      </c>
      <c r="O12" s="36"/>
      <c r="P12" s="23">
        <f>IF(ISNUMBER(SEARCH("合包",R12)),SUMIFS(J:J,G:G,G:G,F:F,F:F)-SUMIFS(打包记录!J:J,打包记录!G:G,G:G,打包记录!F:F,F:F),SUMIFS(J:J,D:D,D:D,G:G,G:G,F:F,F:F)-SUMIFS(打包记录!J:J,打包记录!D:D,D:D,打包记录!G:G,G:G,打包记录!F:F,F:F))</f>
        <v>10</v>
      </c>
      <c r="Q12">
        <v>256</v>
      </c>
    </row>
    <row r="13" spans="1:18" ht="14.25" customHeight="1" x14ac:dyDescent="0.15">
      <c r="A13">
        <v>9</v>
      </c>
      <c r="B13" s="21">
        <v>46234</v>
      </c>
      <c r="C13" t="s">
        <v>190</v>
      </c>
      <c r="D13" t="s">
        <v>179</v>
      </c>
      <c r="E13" t="s">
        <v>203</v>
      </c>
      <c r="F13">
        <v>39407267</v>
      </c>
      <c r="G13" t="s">
        <v>35</v>
      </c>
      <c r="H13" t="str">
        <f>_xlfn.XLOOKUP(G13,产品资料!C:C,产品资料!E:E)</f>
        <v>4609顶盖（0.8MM)</v>
      </c>
      <c r="I13" s="23" t="str">
        <f>_xlfn.XLOOKUP(G13,产品资料!C:C,产品资料!F:F)</f>
        <v>0.8*552*1168.5</v>
      </c>
      <c r="J13">
        <f t="shared" ref="J13:J14" si="0">25*Q13-K13</f>
        <v>246</v>
      </c>
      <c r="K13">
        <v>4</v>
      </c>
      <c r="L13" s="28">
        <f>_xlfn.XLOOKUP(G13,产品资料!C:C,产品资料!O:O)*J13</f>
        <v>994.39290959999994</v>
      </c>
      <c r="M13" s="31">
        <f>IFERROR(_xlfn.XLOOKUP(G13,产品资料!C:C,产品资料!L:L)*J13,0)</f>
        <v>841.07399999999996</v>
      </c>
      <c r="N13">
        <f>IFERROR(_xlfn.XLOOKUP(G13,产品资料!C:C,产品资料!M:M)*J13,0)</f>
        <v>4674</v>
      </c>
      <c r="O13" s="53" t="s">
        <v>204</v>
      </c>
      <c r="P13" s="23">
        <f>IF(ISNUMBER(SEARCH("合包",R13)),SUMIFS(J:J,G:G,G:G,F:F,F:F)-SUMIFS(打包记录!J:J,打包记录!G:G,G:G,打包记录!F:F,F:F),SUMIFS(J:J,D:D,D:D,G:G,G:G,F:F,F:F)-SUMIFS(打包记录!J:J,打包记录!D:D,D:D,打包记录!G:G,G:G,打包记录!F:F,F:F))</f>
        <v>0</v>
      </c>
      <c r="Q13">
        <v>10</v>
      </c>
    </row>
    <row r="14" spans="1:18" ht="14.25" customHeight="1" x14ac:dyDescent="0.15">
      <c r="A14">
        <v>10</v>
      </c>
      <c r="B14" s="21">
        <v>46234</v>
      </c>
      <c r="C14" t="s">
        <v>190</v>
      </c>
      <c r="D14" t="s">
        <v>179</v>
      </c>
      <c r="E14" t="s">
        <v>203</v>
      </c>
      <c r="F14">
        <v>39407267</v>
      </c>
      <c r="G14" t="s">
        <v>19</v>
      </c>
      <c r="H14" t="str">
        <f>_xlfn.XLOOKUP(G14,产品资料!C:C,产品资料!E:E)</f>
        <v xml:space="preserve">4609底盖小加强板（0.8MM ) </v>
      </c>
      <c r="I14" s="23" t="str">
        <f>_xlfn.XLOOKUP(G14,产品资料!C:C,产品资料!F:F)</f>
        <v>0.8*119*1162</v>
      </c>
      <c r="J14">
        <f t="shared" si="0"/>
        <v>121</v>
      </c>
      <c r="K14">
        <v>4</v>
      </c>
      <c r="L14" s="28">
        <f>_xlfn.XLOOKUP(G14,产品资料!C:C,产品资料!O:O)*J14</f>
        <v>104.04276959999999</v>
      </c>
      <c r="M14" s="31">
        <f>IFERROR(_xlfn.XLOOKUP(G14,产品资料!C:C,产品资料!L:L)*J14,0)</f>
        <v>310.00199999999995</v>
      </c>
      <c r="N14">
        <f>IFERROR(_xlfn.XLOOKUP(G14,产品资料!C:C,产品资料!M:M)*J14,0)</f>
        <v>968</v>
      </c>
      <c r="O14" s="53"/>
      <c r="P14" s="23">
        <f>IF(ISNUMBER(SEARCH("合包",R14)),SUMIFS(J:J,G:G,G:G,F:F,F:F)-SUMIFS(打包记录!J:J,打包记录!G:G,G:G,打包记录!F:F,F:F),SUMIFS(J:J,D:D,D:D,G:G,G:G,F:F,F:F)-SUMIFS(打包记录!J:J,打包记录!D:D,D:D,打包记录!G:G,G:G,打包记录!F:F,F:F))</f>
        <v>571</v>
      </c>
      <c r="Q14">
        <v>5</v>
      </c>
    </row>
    <row r="15" spans="1:18" ht="14.25" customHeight="1" x14ac:dyDescent="0.15">
      <c r="A15">
        <v>11</v>
      </c>
      <c r="B15" s="21">
        <v>46235</v>
      </c>
      <c r="C15" t="s">
        <v>190</v>
      </c>
      <c r="D15" t="s">
        <v>179</v>
      </c>
      <c r="E15" t="s">
        <v>203</v>
      </c>
      <c r="F15">
        <v>39407267</v>
      </c>
      <c r="G15" t="s">
        <v>35</v>
      </c>
      <c r="H15" t="str">
        <f>_xlfn.XLOOKUP(G15,产品资料!C:C,产品资料!E:E)</f>
        <v>4609顶盖（0.8MM)</v>
      </c>
      <c r="I15" s="23" t="str">
        <f>_xlfn.XLOOKUP(G15,产品资料!C:C,产品资料!F:F)</f>
        <v>0.8*552*1168.5</v>
      </c>
      <c r="J15">
        <f>75*Q15-K15</f>
        <v>749</v>
      </c>
      <c r="K15">
        <v>1</v>
      </c>
      <c r="L15" s="28">
        <f>_xlfn.XLOOKUP(G15,产品资料!C:C,产品资料!O:O)*J15</f>
        <v>3027.6434523999997</v>
      </c>
      <c r="M15" s="31">
        <f>IFERROR(_xlfn.XLOOKUP(G15,产品资料!C:C,产品资料!L:L)*J15,0)</f>
        <v>2560.8310000000001</v>
      </c>
      <c r="N15">
        <f>IFERROR(_xlfn.XLOOKUP(G15,产品资料!C:C,产品资料!M:M)*J15,0)</f>
        <v>14231</v>
      </c>
      <c r="O15" s="53" t="s">
        <v>205</v>
      </c>
      <c r="P15" s="23">
        <f>IF(ISNUMBER(SEARCH("合包",R15)),SUMIFS(J:J,G:G,G:G,F:F,F:F)-SUMIFS(打包记录!J:J,打包记录!G:G,G:G,打包记录!F:F,F:F),SUMIFS(J:J,D:D,D:D,G:G,G:G,F:F,F:F)-SUMIFS(打包记录!J:J,打包记录!D:D,D:D,打包记录!G:G,G:G,打包记录!F:F,F:F))</f>
        <v>0</v>
      </c>
      <c r="Q15">
        <v>10</v>
      </c>
    </row>
    <row r="16" spans="1:18" ht="14.25" customHeight="1" x14ac:dyDescent="0.15">
      <c r="A16">
        <v>12</v>
      </c>
      <c r="B16" s="21">
        <v>46235</v>
      </c>
      <c r="C16" t="s">
        <v>190</v>
      </c>
      <c r="D16" t="s">
        <v>179</v>
      </c>
      <c r="E16" t="s">
        <v>203</v>
      </c>
      <c r="F16">
        <v>39407267</v>
      </c>
      <c r="G16" t="s">
        <v>19</v>
      </c>
      <c r="H16" t="str">
        <f>_xlfn.XLOOKUP(G16,产品资料!C:C,产品资料!E:E)</f>
        <v xml:space="preserve">4609底盖小加强板（0.8MM ) </v>
      </c>
      <c r="I16" s="23" t="str">
        <f>_xlfn.XLOOKUP(G16,产品资料!C:C,产品资料!F:F)</f>
        <v>0.8*119*1162</v>
      </c>
      <c r="J16">
        <f>75*Q16-K16</f>
        <v>375</v>
      </c>
      <c r="L16" s="28">
        <f>_xlfn.XLOOKUP(G16,产品资料!C:C,产品资料!O:O)*J16</f>
        <v>322.44659999999993</v>
      </c>
      <c r="M16" s="31">
        <f>IFERROR(_xlfn.XLOOKUP(G16,产品资料!C:C,产品资料!L:L)*J16,0)</f>
        <v>960.74999999999989</v>
      </c>
      <c r="N16">
        <f>IFERROR(_xlfn.XLOOKUP(G16,产品资料!C:C,产品资料!M:M)*J16,0)</f>
        <v>3000</v>
      </c>
      <c r="O16" s="53"/>
      <c r="P16" s="23">
        <f>IF(ISNUMBER(SEARCH("合包",R16)),SUMIFS(J:J,G:G,G:G,F:F,F:F)-SUMIFS(打包记录!J:J,打包记录!G:G,G:G,打包记录!F:F,F:F),SUMIFS(J:J,D:D,D:D,G:G,G:G,F:F,F:F)-SUMIFS(打包记录!J:J,打包记录!D:D,D:D,打包记录!G:G,G:G,打包记录!F:F,F:F))</f>
        <v>571</v>
      </c>
      <c r="Q16">
        <v>5</v>
      </c>
    </row>
    <row r="17" spans="1:17" ht="14.25" customHeight="1" x14ac:dyDescent="0.15">
      <c r="A17">
        <v>13</v>
      </c>
      <c r="B17" s="21">
        <v>46237</v>
      </c>
      <c r="C17" t="s">
        <v>191</v>
      </c>
      <c r="D17" s="24" t="s">
        <v>182</v>
      </c>
      <c r="E17" t="s">
        <v>203</v>
      </c>
      <c r="F17">
        <v>39407267</v>
      </c>
      <c r="G17" t="s">
        <v>45</v>
      </c>
      <c r="H17" t="str">
        <f>_xlfn.XLOOKUP(G17,产品资料!C:C,产品资料!E:E)</f>
        <v>4609左侧板(0.8MM)</v>
      </c>
      <c r="I17" s="23" t="str">
        <f>_xlfn.XLOOKUP(G17,产品资料!C:C,产品资料!F:F)</f>
        <v>0.8*534.5*789</v>
      </c>
      <c r="J17">
        <f>65*Q17-K17</f>
        <v>1816</v>
      </c>
      <c r="K17">
        <v>4</v>
      </c>
      <c r="L17" s="28">
        <f>_xlfn.XLOOKUP(G17,产品资料!C:C,产品资料!O:O)*J17</f>
        <v>4755.8962496000004</v>
      </c>
      <c r="M17" s="31">
        <f>IFERROR(_xlfn.XLOOKUP(G17,产品资料!C:C,产品资料!L:L)*J17,0)</f>
        <v>4832.3760000000002</v>
      </c>
      <c r="N17">
        <f>IFERROR(_xlfn.XLOOKUP(G17,产品资料!C:C,产品资料!M:M)*J17,0)</f>
        <v>7264</v>
      </c>
      <c r="O17" s="53" t="s">
        <v>206</v>
      </c>
      <c r="P17" s="23">
        <f>IF(ISNUMBER(SEARCH("合包",R17)),SUMIFS(J:J,G:G,G:G,F:F,F:F)-SUMIFS(打包记录!J:J,打包记录!G:G,G:G,打包记录!F:F,F:F),SUMIFS(J:J,D:D,D:D,G:G,G:G,F:F,F:F)-SUMIFS(打包记录!J:J,打包记录!D:D,D:D,打包记录!G:G,G:G,打包记录!F:F,F:F))</f>
        <v>4</v>
      </c>
      <c r="Q17">
        <v>28</v>
      </c>
    </row>
    <row r="18" spans="1:17" ht="14.25" customHeight="1" x14ac:dyDescent="0.15">
      <c r="A18">
        <v>14</v>
      </c>
      <c r="B18" s="21">
        <v>46237</v>
      </c>
      <c r="C18" t="s">
        <v>191</v>
      </c>
      <c r="D18" s="24" t="s">
        <v>182</v>
      </c>
      <c r="E18" t="s">
        <v>203</v>
      </c>
      <c r="F18">
        <v>39407267</v>
      </c>
      <c r="G18" t="s">
        <v>60</v>
      </c>
      <c r="H18" t="str">
        <f>_xlfn.XLOOKUP(G18,产品资料!C:C,产品资料!E:E)</f>
        <v>4609后内垫板大槽(0.8MM)</v>
      </c>
      <c r="I18" s="23" t="str">
        <f>_xlfn.XLOOKUP(G18,产品资料!C:C,产品资料!F:F)</f>
        <v>0.8*145*754.5</v>
      </c>
      <c r="J18">
        <f>65*Q18-K18</f>
        <v>260</v>
      </c>
      <c r="L18" s="28">
        <f>_xlfn.XLOOKUP(G18,产品资料!C:C,产品资料!O:O)*J18</f>
        <v>178.49769599999999</v>
      </c>
      <c r="M18" s="31">
        <f>IFERROR(_xlfn.XLOOKUP(G18,产品资料!C:C,产品资料!L:L)*J18,0)</f>
        <v>467.74</v>
      </c>
      <c r="N18">
        <f>IFERROR(_xlfn.XLOOKUP(G18,产品资料!C:C,产品资料!M:M)*J18,0)</f>
        <v>1560</v>
      </c>
      <c r="O18" s="53"/>
      <c r="P18" s="23">
        <f>IF(ISNUMBER(SEARCH("合包",R18)),SUMIFS(J:J,G:G,G:G,F:F,F:F)-SUMIFS(打包记录!J:J,打包记录!G:G,G:G,打包记录!F:F,F:F),SUMIFS(J:J,D:D,D:D,G:G,G:G,F:F,F:F)-SUMIFS(打包记录!J:J,打包记录!D:D,D:D,打包记录!G:G,G:G,打包记录!F:F,F:F))</f>
        <v>4</v>
      </c>
      <c r="Q18">
        <v>4</v>
      </c>
    </row>
    <row r="19" spans="1:17" ht="14.25" customHeight="1" x14ac:dyDescent="0.15">
      <c r="A19">
        <v>15</v>
      </c>
      <c r="B19" s="21">
        <v>46237</v>
      </c>
      <c r="C19" t="s">
        <v>191</v>
      </c>
      <c r="D19" s="24" t="s">
        <v>182</v>
      </c>
      <c r="E19" t="s">
        <v>203</v>
      </c>
      <c r="F19">
        <v>39407267</v>
      </c>
      <c r="G19" t="s">
        <v>95</v>
      </c>
      <c r="H19" t="str">
        <f>_xlfn.XLOOKUP(G19,产品资料!C:C,产品资料!E:E)</f>
        <v>4609顶长拉手（0.8MM ）</v>
      </c>
      <c r="I19" s="23" t="str">
        <f>_xlfn.XLOOKUP(G19,产品资料!C:C,产品资料!F:F)</f>
        <v>0.8*168*1076</v>
      </c>
      <c r="J19">
        <f>65*Q19-K19</f>
        <v>520</v>
      </c>
      <c r="L19" s="28">
        <f>_xlfn.XLOOKUP(G19,产品资料!C:C,产品资料!O:O)*J19</f>
        <v>588.36315200000001</v>
      </c>
      <c r="M19" s="31">
        <f>IFERROR(_xlfn.XLOOKUP(G19,产品资料!C:C,产品资料!L:L)*J19,0)</f>
        <v>1290.6400000000001</v>
      </c>
      <c r="N19">
        <f>IFERROR(_xlfn.XLOOKUP(G19,产品资料!C:C,产品资料!M:M)*J19,0)</f>
        <v>0</v>
      </c>
      <c r="O19" s="53"/>
      <c r="P19" s="23">
        <f>IF(ISNUMBER(SEARCH("合包",R19)),SUMIFS(J:J,G:G,G:G,F:F,F:F)-SUMIFS(打包记录!J:J,打包记录!G:G,G:G,打包记录!F:F,F:F),SUMIFS(J:J,D:D,D:D,G:G,G:G,F:F,F:F)-SUMIFS(打包记录!J:J,打包记录!D:D,D:D,打包记录!G:G,G:G,打包记录!F:F,F:F))</f>
        <v>2</v>
      </c>
      <c r="Q19">
        <v>8</v>
      </c>
    </row>
    <row r="20" spans="1:17" ht="14.25" customHeight="1" x14ac:dyDescent="0.15">
      <c r="A20">
        <v>16</v>
      </c>
      <c r="B20" s="21">
        <v>46237</v>
      </c>
      <c r="C20" t="s">
        <v>191</v>
      </c>
      <c r="D20" s="24" t="s">
        <v>182</v>
      </c>
      <c r="E20" t="s">
        <v>203</v>
      </c>
      <c r="F20">
        <v>39407267</v>
      </c>
      <c r="G20" t="s">
        <v>125</v>
      </c>
      <c r="H20" t="str">
        <f>_xlfn.XLOOKUP(G20,产品资料!C:C,产品资料!E:E)</f>
        <v>4609大拉手(0.8MM）</v>
      </c>
      <c r="I20" s="23" t="str">
        <f>_xlfn.XLOOKUP(G20,产品资料!C:C,产品资料!F:F)</f>
        <v>0.8*303*515</v>
      </c>
      <c r="J20">
        <f>65*Q20-K20</f>
        <v>260</v>
      </c>
      <c r="L20" s="28">
        <f>_xlfn.XLOOKUP(G20,产品资料!C:C,产品资料!O:O)*J20</f>
        <v>254.22695999999999</v>
      </c>
      <c r="M20" s="31">
        <f>IFERROR(_xlfn.XLOOKUP(G20,产品资料!C:C,产品资料!L:L)*J20,0)</f>
        <v>423.79999999999995</v>
      </c>
      <c r="N20">
        <f>IFERROR(_xlfn.XLOOKUP(G20,产品资料!C:C,产品资料!M:M)*J20,0)</f>
        <v>0</v>
      </c>
      <c r="O20" s="53"/>
      <c r="P20" s="23">
        <f>IF(ISNUMBER(SEARCH("合包",R20)),SUMIFS(J:J,G:G,G:G,F:F,F:F)-SUMIFS(打包记录!J:J,打包记录!G:G,G:G,打包记录!F:F,F:F),SUMIFS(J:J,D:D,D:D,G:G,G:G,F:F,F:F)-SUMIFS(打包记录!J:J,打包记录!D:D,D:D,打包记录!G:G,G:G,打包记录!F:F,F:F))</f>
        <v>3</v>
      </c>
      <c r="Q20">
        <v>4</v>
      </c>
    </row>
    <row r="21" spans="1:17" ht="14.25" customHeight="1" x14ac:dyDescent="0.15">
      <c r="A21">
        <v>17</v>
      </c>
      <c r="B21" s="21">
        <v>46238</v>
      </c>
      <c r="C21" t="s">
        <v>191</v>
      </c>
      <c r="D21" s="24" t="s">
        <v>182</v>
      </c>
      <c r="E21" t="s">
        <v>207</v>
      </c>
      <c r="F21">
        <v>39407267</v>
      </c>
      <c r="G21" t="s">
        <v>45</v>
      </c>
      <c r="H21" t="str">
        <f>_xlfn.XLOOKUP(G21,产品资料!C:C,产品资料!E:E)</f>
        <v>4609左侧板(0.8MM)</v>
      </c>
      <c r="I21" s="23" t="str">
        <f>_xlfn.XLOOKUP(G21,产品资料!C:C,产品资料!F:F)</f>
        <v>0.8*534.5*789</v>
      </c>
      <c r="J21">
        <f t="shared" ref="J21:J24" si="1">108*Q21-K21</f>
        <v>3015</v>
      </c>
      <c r="K21">
        <v>9</v>
      </c>
      <c r="L21" s="28">
        <f>_xlfn.XLOOKUP(G21,产品资料!C:C,产品资料!O:O)*J21</f>
        <v>7895.9400839999998</v>
      </c>
      <c r="M21" s="31">
        <f>IFERROR(_xlfn.XLOOKUP(G21,产品资料!C:C,产品资料!L:L)*J21,0)</f>
        <v>8022.915</v>
      </c>
      <c r="N21">
        <f>IFERROR(_xlfn.XLOOKUP(G21,产品资料!C:C,产品资料!M:M)*J21,0)</f>
        <v>12060</v>
      </c>
      <c r="O21" s="53" t="s">
        <v>208</v>
      </c>
      <c r="P21" s="23">
        <f>IF(ISNUMBER(SEARCH("合包",R21)),SUMIFS(J:J,G:G,G:G,F:F,F:F)-SUMIFS(打包记录!J:J,打包记录!G:G,G:G,打包记录!F:F,F:F),SUMIFS(J:J,D:D,D:D,G:G,G:G,F:F,F:F)-SUMIFS(打包记录!J:J,打包记录!D:D,D:D,打包记录!G:G,G:G,打包记录!F:F,F:F))</f>
        <v>4</v>
      </c>
      <c r="Q21">
        <v>28</v>
      </c>
    </row>
    <row r="22" spans="1:17" ht="14.25" customHeight="1" x14ac:dyDescent="0.15">
      <c r="A22">
        <v>18</v>
      </c>
      <c r="B22" s="21">
        <v>46238</v>
      </c>
      <c r="C22" t="s">
        <v>191</v>
      </c>
      <c r="D22" s="24" t="s">
        <v>182</v>
      </c>
      <c r="E22" t="s">
        <v>207</v>
      </c>
      <c r="F22">
        <v>39407267</v>
      </c>
      <c r="G22" t="s">
        <v>60</v>
      </c>
      <c r="H22" t="str">
        <f>_xlfn.XLOOKUP(G22,产品资料!C:C,产品资料!E:E)</f>
        <v>4609后内垫板大槽(0.8MM)</v>
      </c>
      <c r="I22" s="23" t="str">
        <f>_xlfn.XLOOKUP(G22,产品资料!C:C,产品资料!F:F)</f>
        <v>0.8*145*754.5</v>
      </c>
      <c r="J22">
        <f t="shared" si="1"/>
        <v>425</v>
      </c>
      <c r="K22">
        <v>7</v>
      </c>
      <c r="L22" s="28">
        <f>_xlfn.XLOOKUP(G22,产品资料!C:C,产品资料!O:O)*J22</f>
        <v>291.77508</v>
      </c>
      <c r="M22" s="31">
        <f>IFERROR(_xlfn.XLOOKUP(G22,产品资料!C:C,产品资料!L:L)*J22,0)</f>
        <v>764.57499999999993</v>
      </c>
      <c r="N22">
        <f>IFERROR(_xlfn.XLOOKUP(G22,产品资料!C:C,产品资料!M:M)*J22,0)</f>
        <v>2550</v>
      </c>
      <c r="O22" s="53"/>
      <c r="P22" s="23">
        <f>IF(ISNUMBER(SEARCH("合包",R22)),SUMIFS(J:J,G:G,G:G,F:F,F:F)-SUMIFS(打包记录!J:J,打包记录!G:G,G:G,打包记录!F:F,F:F),SUMIFS(J:J,D:D,D:D,G:G,G:G,F:F,F:F)-SUMIFS(打包记录!J:J,打包记录!D:D,D:D,打包记录!G:G,G:G,打包记录!F:F,F:F))</f>
        <v>4</v>
      </c>
      <c r="Q22">
        <v>4</v>
      </c>
    </row>
    <row r="23" spans="1:17" ht="14.25" customHeight="1" x14ac:dyDescent="0.15">
      <c r="A23">
        <v>19</v>
      </c>
      <c r="B23" s="21">
        <v>46238</v>
      </c>
      <c r="C23" t="s">
        <v>191</v>
      </c>
      <c r="D23" s="24" t="s">
        <v>182</v>
      </c>
      <c r="E23" t="s">
        <v>207</v>
      </c>
      <c r="F23">
        <v>39407267</v>
      </c>
      <c r="G23" t="s">
        <v>95</v>
      </c>
      <c r="H23" t="str">
        <f>_xlfn.XLOOKUP(G23,产品资料!C:C,产品资料!E:E)</f>
        <v>4609顶长拉手（0.8MM ）</v>
      </c>
      <c r="I23" s="23" t="str">
        <f>_xlfn.XLOOKUP(G23,产品资料!C:C,产品资料!F:F)</f>
        <v>0.8*168*1076</v>
      </c>
      <c r="J23">
        <f t="shared" si="1"/>
        <v>849</v>
      </c>
      <c r="K23">
        <v>15</v>
      </c>
      <c r="L23" s="28">
        <f>_xlfn.XLOOKUP(G23,产品资料!C:C,产品资料!O:O)*J23</f>
        <v>960.6159924000001</v>
      </c>
      <c r="M23" s="31">
        <f>IFERROR(_xlfn.XLOOKUP(G23,产品资料!C:C,产品资料!L:L)*J23,0)</f>
        <v>2107.2180000000003</v>
      </c>
      <c r="N23">
        <f>IFERROR(_xlfn.XLOOKUP(G23,产品资料!C:C,产品资料!M:M)*J23,0)</f>
        <v>0</v>
      </c>
      <c r="O23" s="53"/>
      <c r="P23" s="23">
        <f>IF(ISNUMBER(SEARCH("合包",R23)),SUMIFS(J:J,G:G,G:G,F:F,F:F)-SUMIFS(打包记录!J:J,打包记录!G:G,G:G,打包记录!F:F,F:F),SUMIFS(J:J,D:D,D:D,G:G,G:G,F:F,F:F)-SUMIFS(打包记录!J:J,打包记录!D:D,D:D,打包记录!G:G,G:G,打包记录!F:F,F:F))</f>
        <v>2</v>
      </c>
      <c r="Q23">
        <v>8</v>
      </c>
    </row>
    <row r="24" spans="1:17" ht="14.25" customHeight="1" x14ac:dyDescent="0.15">
      <c r="A24">
        <v>20</v>
      </c>
      <c r="B24" s="21">
        <v>46238</v>
      </c>
      <c r="C24" t="s">
        <v>191</v>
      </c>
      <c r="D24" s="24" t="s">
        <v>182</v>
      </c>
      <c r="E24" t="s">
        <v>207</v>
      </c>
      <c r="F24">
        <v>39407267</v>
      </c>
      <c r="G24" t="s">
        <v>125</v>
      </c>
      <c r="H24" t="str">
        <f>_xlfn.XLOOKUP(G24,产品资料!C:C,产品资料!E:E)</f>
        <v>4609大拉手(0.8MM）</v>
      </c>
      <c r="I24" s="23" t="str">
        <f>_xlfn.XLOOKUP(G24,产品资料!C:C,产品资料!F:F)</f>
        <v>0.8*303*515</v>
      </c>
      <c r="J24">
        <f t="shared" si="1"/>
        <v>426</v>
      </c>
      <c r="K24">
        <v>6</v>
      </c>
      <c r="L24" s="28">
        <f>_xlfn.XLOOKUP(G24,产品资料!C:C,产品资料!O:O)*J24</f>
        <v>416.54109599999998</v>
      </c>
      <c r="M24" s="31">
        <f>IFERROR(_xlfn.XLOOKUP(G24,产品资料!C:C,产品资料!L:L)*J24,0)</f>
        <v>694.38</v>
      </c>
      <c r="N24">
        <f>IFERROR(_xlfn.XLOOKUP(G24,产品资料!C:C,产品资料!M:M)*J24,0)</f>
        <v>0</v>
      </c>
      <c r="O24" s="53"/>
      <c r="P24" s="23">
        <f>IF(ISNUMBER(SEARCH("合包",R24)),SUMIFS(J:J,G:G,G:G,F:F,F:F)-SUMIFS(打包记录!J:J,打包记录!G:G,G:G,打包记录!F:F,F:F),SUMIFS(J:J,D:D,D:D,G:G,G:G,F:F,F:F)-SUMIFS(打包记录!J:J,打包记录!D:D,D:D,打包记录!G:G,G:G,打包记录!F:F,F:F))</f>
        <v>3</v>
      </c>
      <c r="Q24">
        <v>4</v>
      </c>
    </row>
    <row r="25" spans="1:17" ht="14.25" customHeight="1" x14ac:dyDescent="0.15">
      <c r="A25">
        <v>21</v>
      </c>
      <c r="B25" s="21">
        <v>46239</v>
      </c>
      <c r="C25" t="s">
        <v>191</v>
      </c>
      <c r="D25" s="24" t="s">
        <v>182</v>
      </c>
      <c r="E25" t="s">
        <v>207</v>
      </c>
      <c r="F25">
        <v>39407267</v>
      </c>
      <c r="G25" t="s">
        <v>45</v>
      </c>
      <c r="H25" t="str">
        <f>_xlfn.XLOOKUP(G25,产品资料!C:C,产品资料!E:E)</f>
        <v>4609左侧板(0.8MM)</v>
      </c>
      <c r="I25" s="23" t="str">
        <f>_xlfn.XLOOKUP(G25,产品资料!C:C,产品资料!F:F)</f>
        <v>0.8*534.5*789</v>
      </c>
      <c r="J25">
        <f>90*Q25-K25</f>
        <v>2499</v>
      </c>
      <c r="K25">
        <v>21</v>
      </c>
      <c r="L25" s="28">
        <f>_xlfn.XLOOKUP(G25,产品资料!C:C,产品资料!O:O)*J25</f>
        <v>6544.5951144000001</v>
      </c>
      <c r="M25" s="31">
        <f>IFERROR(_xlfn.XLOOKUP(G25,产品资料!C:C,产品资料!L:L)*J25,0)</f>
        <v>6649.8389999999999</v>
      </c>
      <c r="N25">
        <f>IFERROR(_xlfn.XLOOKUP(G25,产品资料!C:C,产品资料!M:M)*J25,0)</f>
        <v>9996</v>
      </c>
      <c r="O25" s="53" t="s">
        <v>209</v>
      </c>
      <c r="P25" s="23">
        <f>IF(ISNUMBER(SEARCH("合包",R25)),SUMIFS(J:J,G:G,G:G,F:F,F:F)-SUMIFS(打包记录!J:J,打包记录!G:G,G:G,打包记录!F:F,F:F),SUMIFS(J:J,D:D,D:D,G:G,G:G,F:F,F:F)-SUMIFS(打包记录!J:J,打包记录!D:D,D:D,打包记录!G:G,G:G,打包记录!F:F,F:F))</f>
        <v>4</v>
      </c>
      <c r="Q25">
        <v>28</v>
      </c>
    </row>
    <row r="26" spans="1:17" ht="14.25" customHeight="1" x14ac:dyDescent="0.15">
      <c r="A26">
        <v>22</v>
      </c>
      <c r="B26" s="21">
        <v>46239</v>
      </c>
      <c r="C26" t="s">
        <v>191</v>
      </c>
      <c r="D26" s="24" t="s">
        <v>182</v>
      </c>
      <c r="E26" t="s">
        <v>207</v>
      </c>
      <c r="F26">
        <v>39407267</v>
      </c>
      <c r="G26" t="s">
        <v>60</v>
      </c>
      <c r="H26" t="str">
        <f>_xlfn.XLOOKUP(G26,产品资料!C:C,产品资料!E:E)</f>
        <v>4609后内垫板大槽(0.8MM)</v>
      </c>
      <c r="I26" s="23" t="str">
        <f>_xlfn.XLOOKUP(G26,产品资料!C:C,产品资料!F:F)</f>
        <v>0.8*145*754.5</v>
      </c>
      <c r="J26">
        <f>90*Q26-K26</f>
        <v>348</v>
      </c>
      <c r="K26">
        <v>12</v>
      </c>
      <c r="L26" s="28">
        <f>_xlfn.XLOOKUP(G26,产品资料!C:C,产品资料!O:O)*J26</f>
        <v>238.9123008</v>
      </c>
      <c r="M26" s="31">
        <f>IFERROR(_xlfn.XLOOKUP(G26,产品资料!C:C,产品资料!L:L)*J26,0)</f>
        <v>626.05200000000002</v>
      </c>
      <c r="N26">
        <f>IFERROR(_xlfn.XLOOKUP(G26,产品资料!C:C,产品资料!M:M)*J26,0)</f>
        <v>2088</v>
      </c>
      <c r="O26" s="53"/>
      <c r="P26" s="23">
        <f>IF(ISNUMBER(SEARCH("合包",R26)),SUMIFS(J:J,G:G,G:G,F:F,F:F)-SUMIFS(打包记录!J:J,打包记录!G:G,G:G,打包记录!F:F,F:F),SUMIFS(J:J,D:D,D:D,G:G,G:G,F:F,F:F)-SUMIFS(打包记录!J:J,打包记录!D:D,D:D,打包记录!G:G,G:G,打包记录!F:F,F:F))</f>
        <v>4</v>
      </c>
      <c r="Q26">
        <v>4</v>
      </c>
    </row>
    <row r="27" spans="1:17" ht="14.25" customHeight="1" x14ac:dyDescent="0.15">
      <c r="A27">
        <v>23</v>
      </c>
      <c r="B27" s="21">
        <v>46239</v>
      </c>
      <c r="C27" t="s">
        <v>191</v>
      </c>
      <c r="D27" s="24" t="s">
        <v>182</v>
      </c>
      <c r="E27" t="s">
        <v>207</v>
      </c>
      <c r="F27">
        <v>39407267</v>
      </c>
      <c r="G27" t="s">
        <v>95</v>
      </c>
      <c r="H27" t="str">
        <f>_xlfn.XLOOKUP(G27,产品资料!C:C,产品资料!E:E)</f>
        <v>4609顶长拉手（0.8MM ）</v>
      </c>
      <c r="I27" s="23" t="str">
        <f>_xlfn.XLOOKUP(G27,产品资料!C:C,产品资料!F:F)</f>
        <v>0.8*168*1076</v>
      </c>
      <c r="J27">
        <f>90*Q27-K27</f>
        <v>690</v>
      </c>
      <c r="K27">
        <v>30</v>
      </c>
      <c r="L27" s="28">
        <f>_xlfn.XLOOKUP(G27,产品资料!C:C,产品资料!O:O)*J27</f>
        <v>780.71264400000007</v>
      </c>
      <c r="M27" s="31">
        <f>IFERROR(_xlfn.XLOOKUP(G27,产品资料!C:C,产品资料!L:L)*J27,0)</f>
        <v>1712.5800000000002</v>
      </c>
      <c r="N27">
        <f>IFERROR(_xlfn.XLOOKUP(G27,产品资料!C:C,产品资料!M:M)*J27,0)</f>
        <v>0</v>
      </c>
      <c r="O27" s="53"/>
      <c r="P27" s="23">
        <f>IF(ISNUMBER(SEARCH("合包",R27)),SUMIFS(J:J,G:G,G:G,F:F,F:F)-SUMIFS(打包记录!J:J,打包记录!G:G,G:G,打包记录!F:F,F:F),SUMIFS(J:J,D:D,D:D,G:G,G:G,F:F,F:F)-SUMIFS(打包记录!J:J,打包记录!D:D,D:D,打包记录!G:G,G:G,打包记录!F:F,F:F))</f>
        <v>2</v>
      </c>
      <c r="Q27">
        <v>8</v>
      </c>
    </row>
    <row r="28" spans="1:17" ht="14.25" customHeight="1" x14ac:dyDescent="0.15">
      <c r="A28">
        <v>24</v>
      </c>
      <c r="B28" s="21">
        <v>46239</v>
      </c>
      <c r="C28" t="s">
        <v>191</v>
      </c>
      <c r="D28" s="24" t="s">
        <v>182</v>
      </c>
      <c r="E28" t="s">
        <v>207</v>
      </c>
      <c r="F28">
        <v>39407267</v>
      </c>
      <c r="G28" t="s">
        <v>125</v>
      </c>
      <c r="H28" t="str">
        <f>_xlfn.XLOOKUP(G28,产品资料!C:C,产品资料!E:E)</f>
        <v>4609大拉手(0.8MM）</v>
      </c>
      <c r="I28" s="23" t="str">
        <f>_xlfn.XLOOKUP(G28,产品资料!C:C,产品资料!F:F)</f>
        <v>0.8*303*515</v>
      </c>
      <c r="J28">
        <f>90*Q28-K28</f>
        <v>359</v>
      </c>
      <c r="K28">
        <v>1</v>
      </c>
      <c r="L28" s="28">
        <f>_xlfn.XLOOKUP(G28,产品资料!C:C,产品资料!O:O)*J28</f>
        <v>351.02876400000002</v>
      </c>
      <c r="M28" s="31">
        <f>IFERROR(_xlfn.XLOOKUP(G28,产品资料!C:C,产品资料!L:L)*J28,0)</f>
        <v>585.16999999999996</v>
      </c>
      <c r="N28">
        <f>IFERROR(_xlfn.XLOOKUP(G28,产品资料!C:C,产品资料!M:M)*J28,0)</f>
        <v>0</v>
      </c>
      <c r="O28" s="53"/>
      <c r="P28" s="23">
        <f>IF(ISNUMBER(SEARCH("合包",R28)),SUMIFS(J:J,G:G,G:G,F:F,F:F)-SUMIFS(打包记录!J:J,打包记录!G:G,G:G,打包记录!F:F,F:F),SUMIFS(J:J,D:D,D:D,G:G,G:G,F:F,F:F)-SUMIFS(打包记录!J:J,打包记录!D:D,D:D,打包记录!G:G,G:G,打包记录!F:F,F:F))</f>
        <v>3</v>
      </c>
      <c r="Q28">
        <v>4</v>
      </c>
    </row>
    <row r="29" spans="1:17" ht="14.25" customHeight="1" x14ac:dyDescent="0.15">
      <c r="A29">
        <v>25</v>
      </c>
      <c r="B29" s="21">
        <v>46239</v>
      </c>
      <c r="C29" t="s">
        <v>191</v>
      </c>
      <c r="D29" s="24" t="s">
        <v>182</v>
      </c>
      <c r="E29" t="s">
        <v>207</v>
      </c>
      <c r="F29">
        <v>39407267</v>
      </c>
      <c r="G29" t="s">
        <v>55</v>
      </c>
      <c r="H29" t="str">
        <f>_xlfn.XLOOKUP(G29,产品资料!C:C,产品资料!E:E)</f>
        <v>4609左内垫板(0.8MM)</v>
      </c>
      <c r="I29" s="23" t="str">
        <f>_xlfn.XLOOKUP(G29,产品资料!C:C,产品资料!F:F)</f>
        <v>0.8*152*662</v>
      </c>
      <c r="J29">
        <f>11*Q29-K29</f>
        <v>176</v>
      </c>
      <c r="L29" s="28">
        <f>_xlfn.XLOOKUP(G29,产品资料!C:C,产品资料!O:O)*J29</f>
        <v>108.42796800000001</v>
      </c>
      <c r="M29" s="31">
        <f>IFERROR(_xlfn.XLOOKUP(G29,产品资料!C:C,产品资料!L:L)*J29,0)</f>
        <v>312.57600000000002</v>
      </c>
      <c r="N29">
        <f>IFERROR(_xlfn.XLOOKUP(G29,产品资料!C:C,产品资料!M:M)*J29,0)</f>
        <v>1056</v>
      </c>
      <c r="O29" s="53" t="s">
        <v>210</v>
      </c>
      <c r="P29" s="23">
        <f>IF(ISNUMBER(SEARCH("合包",R29)),SUMIFS(J:J,G:G,G:G,F:F,F:F)-SUMIFS(打包记录!J:J,打包记录!G:G,G:G,打包记录!F:F,F:F),SUMIFS(J:J,D:D,D:D,G:G,G:G,F:F,F:F)-SUMIFS(打包记录!J:J,打包记录!D:D,D:D,打包记录!G:G,G:G,打包记录!F:F,F:F))</f>
        <v>4</v>
      </c>
      <c r="Q29">
        <v>16</v>
      </c>
    </row>
    <row r="30" spans="1:17" ht="14.25" customHeight="1" x14ac:dyDescent="0.15">
      <c r="A30">
        <v>26</v>
      </c>
      <c r="B30" s="21">
        <v>46239</v>
      </c>
      <c r="C30" t="s">
        <v>191</v>
      </c>
      <c r="D30" s="24" t="s">
        <v>182</v>
      </c>
      <c r="E30" t="s">
        <v>207</v>
      </c>
      <c r="F30">
        <v>39407267</v>
      </c>
      <c r="G30" t="s">
        <v>95</v>
      </c>
      <c r="H30" t="str">
        <f>_xlfn.XLOOKUP(G30,产品资料!C:C,产品资料!E:E)</f>
        <v>4609顶长拉手（0.8MM ）</v>
      </c>
      <c r="I30" s="23" t="str">
        <f>_xlfn.XLOOKUP(G30,产品资料!C:C,产品资料!F:F)</f>
        <v>0.8*168*1076</v>
      </c>
      <c r="J30">
        <f>11*Q30-K30</f>
        <v>88</v>
      </c>
      <c r="L30" s="28">
        <f>_xlfn.XLOOKUP(G30,产品资料!C:C,产品资料!O:O)*J30</f>
        <v>99.569148800000008</v>
      </c>
      <c r="M30" s="31">
        <f>IFERROR(_xlfn.XLOOKUP(G30,产品资料!C:C,产品资料!L:L)*J30,0)</f>
        <v>218.41600000000003</v>
      </c>
      <c r="N30">
        <f>IFERROR(_xlfn.XLOOKUP(G30,产品资料!C:C,产品资料!M:M)*J30,0)</f>
        <v>0</v>
      </c>
      <c r="O30" s="53"/>
      <c r="P30" s="23">
        <f>IF(ISNUMBER(SEARCH("合包",R30)),SUMIFS(J:J,G:G,G:G,F:F,F:F)-SUMIFS(打包记录!J:J,打包记录!G:G,G:G,打包记录!F:F,F:F),SUMIFS(J:J,D:D,D:D,G:G,G:G,F:F,F:F)-SUMIFS(打包记录!J:J,打包记录!D:D,D:D,打包记录!G:G,G:G,打包记录!F:F,F:F))</f>
        <v>2</v>
      </c>
      <c r="Q30">
        <v>8</v>
      </c>
    </row>
    <row r="31" spans="1:17" ht="14.25" customHeight="1" x14ac:dyDescent="0.15">
      <c r="A31">
        <v>27</v>
      </c>
      <c r="B31" s="21">
        <v>46239</v>
      </c>
      <c r="C31" t="s">
        <v>191</v>
      </c>
      <c r="D31" s="24" t="s">
        <v>182</v>
      </c>
      <c r="E31" t="s">
        <v>207</v>
      </c>
      <c r="F31">
        <v>39407267</v>
      </c>
      <c r="G31" t="s">
        <v>115</v>
      </c>
      <c r="H31" t="str">
        <f>_xlfn.XLOOKUP(G31,产品资料!C:C,产品资料!E:E)</f>
        <v>4609中拉手(0.8MM）</v>
      </c>
      <c r="I31" s="23" t="str">
        <f>_xlfn.XLOOKUP(G31,产品资料!C:C,产品资料!F:F)</f>
        <v>0.8*155*515</v>
      </c>
      <c r="J31">
        <f>11*Q31-K31</f>
        <v>88</v>
      </c>
      <c r="L31" s="28">
        <f>_xlfn.XLOOKUP(G31,产品资料!C:C,产品资料!O:O)*J31</f>
        <v>43.923827199999998</v>
      </c>
      <c r="M31" s="31">
        <f>IFERROR(_xlfn.XLOOKUP(G31,产品资料!C:C,产品资料!L:L)*J31,0)</f>
        <v>117.39200000000001</v>
      </c>
      <c r="N31">
        <f>IFERROR(_xlfn.XLOOKUP(G31,产品资料!C:C,产品资料!M:M)*J31,0)</f>
        <v>0</v>
      </c>
      <c r="O31" s="53"/>
      <c r="P31" s="23">
        <f>IF(ISNUMBER(SEARCH("合包",R31)),SUMIFS(J:J,G:G,G:G,F:F,F:F)-SUMIFS(打包记录!J:J,打包记录!G:G,G:G,打包记录!F:F,F:F),SUMIFS(J:J,D:D,D:D,G:G,G:G,F:F,F:F)-SUMIFS(打包记录!J:J,打包记录!D:D,D:D,打包记录!G:G,G:G,打包记录!F:F,F:F))</f>
        <v>10</v>
      </c>
      <c r="Q31">
        <v>8</v>
      </c>
    </row>
    <row r="32" spans="1:17" ht="14.25" customHeight="1" x14ac:dyDescent="0.15">
      <c r="A32">
        <v>28</v>
      </c>
      <c r="B32" s="21">
        <v>46239</v>
      </c>
      <c r="C32" t="s">
        <v>191</v>
      </c>
      <c r="D32" s="24" t="s">
        <v>182</v>
      </c>
      <c r="E32" t="s">
        <v>207</v>
      </c>
      <c r="F32">
        <v>39407267</v>
      </c>
      <c r="G32" t="s">
        <v>120</v>
      </c>
      <c r="H32" t="str">
        <f>_xlfn.XLOOKUP(G32,产品资料!C:C,产品资料!E:E)</f>
        <v>4609大抽斗(0.8MM)</v>
      </c>
      <c r="I32" s="23" t="str">
        <f>_xlfn.XLOOKUP(G32,产品资料!C:C,产品资料!F:F)</f>
        <v>0.8*418*919</v>
      </c>
      <c r="J32">
        <f>11*Q32-K32</f>
        <v>308</v>
      </c>
      <c r="L32" s="28">
        <f>_xlfn.XLOOKUP(G32,产品资料!C:C,产品资料!O:O)*J32</f>
        <v>739.69206079999992</v>
      </c>
      <c r="M32" s="31">
        <f>IFERROR(_xlfn.XLOOKUP(G32,产品资料!C:C,产品资料!L:L)*J32,0)</f>
        <v>838.06799999999998</v>
      </c>
      <c r="N32">
        <f>IFERROR(_xlfn.XLOOKUP(G32,产品资料!C:C,产品资料!M:M)*J32,0)</f>
        <v>5544</v>
      </c>
      <c r="O32" s="53"/>
      <c r="P32" s="23">
        <f>IF(ISNUMBER(SEARCH("合包",R32)),SUMIFS(J:J,G:G,G:G,F:F,F:F)-SUMIFS(打包记录!J:J,打包记录!G:G,G:G,打包记录!F:F,F:F),SUMIFS(J:J,D:D,D:D,G:G,G:G,F:F,F:F)-SUMIFS(打包记录!J:J,打包记录!D:D,D:D,打包记录!G:G,G:G,打包记录!F:F,F:F))</f>
        <v>2</v>
      </c>
      <c r="Q32">
        <v>28</v>
      </c>
    </row>
    <row r="33" spans="1:17" ht="14.25" customHeight="1" x14ac:dyDescent="0.15">
      <c r="A33">
        <v>29</v>
      </c>
      <c r="B33" s="21">
        <v>46239</v>
      </c>
      <c r="C33" t="s">
        <v>192</v>
      </c>
      <c r="D33" t="s">
        <v>179</v>
      </c>
      <c r="E33" t="s">
        <v>207</v>
      </c>
      <c r="F33">
        <v>39407267</v>
      </c>
      <c r="G33" t="s">
        <v>35</v>
      </c>
      <c r="H33" t="str">
        <f>_xlfn.XLOOKUP(G33,产品资料!C:C,产品资料!E:E)</f>
        <v>4609顶盖（0.8MM)</v>
      </c>
      <c r="I33" s="23" t="str">
        <f>_xlfn.XLOOKUP(G33,产品资料!C:C,产品资料!F:F)</f>
        <v>0.8*552*1168.5</v>
      </c>
      <c r="J33">
        <f>33*Q33-K33</f>
        <v>328</v>
      </c>
      <c r="K33">
        <v>2</v>
      </c>
      <c r="L33" s="28">
        <f>_xlfn.XLOOKUP(G33,产品资料!C:C,产品资料!O:O)*J33</f>
        <v>1325.8572127999998</v>
      </c>
      <c r="M33" s="31">
        <f>IFERROR(_xlfn.XLOOKUP(G33,产品资料!C:C,产品资料!L:L)*J33,0)</f>
        <v>1121.432</v>
      </c>
      <c r="N33">
        <f>IFERROR(_xlfn.XLOOKUP(G33,产品资料!C:C,产品资料!M:M)*J33,0)</f>
        <v>6232</v>
      </c>
      <c r="O33" s="51" t="s">
        <v>211</v>
      </c>
      <c r="P33" s="23">
        <f>IF(ISNUMBER(SEARCH("合包",R33)),SUMIFS(J:J,G:G,G:G,F:F,F:F)-SUMIFS(打包记录!J:J,打包记录!G:G,G:G,打包记录!F:F,F:F),SUMIFS(J:J,D:D,D:D,G:G,G:G,F:F,F:F)-SUMIFS(打包记录!J:J,打包记录!D:D,D:D,打包记录!G:G,G:G,打包记录!F:F,F:F))</f>
        <v>0</v>
      </c>
      <c r="Q33">
        <v>10</v>
      </c>
    </row>
    <row r="34" spans="1:17" ht="14.25" customHeight="1" x14ac:dyDescent="0.15">
      <c r="A34">
        <v>30</v>
      </c>
      <c r="B34" s="21">
        <v>46239</v>
      </c>
      <c r="C34" t="s">
        <v>192</v>
      </c>
      <c r="D34" t="s">
        <v>179</v>
      </c>
      <c r="E34" t="s">
        <v>207</v>
      </c>
      <c r="F34">
        <v>39407267</v>
      </c>
      <c r="G34" t="s">
        <v>19</v>
      </c>
      <c r="H34" t="str">
        <f>_xlfn.XLOOKUP(G34,产品资料!C:C,产品资料!E:E)</f>
        <v xml:space="preserve">4609底盖小加强板（0.8MM ) </v>
      </c>
      <c r="I34" s="23" t="str">
        <f>_xlfn.XLOOKUP(G34,产品资料!C:C,产品资料!F:F)</f>
        <v>0.8*119*1162</v>
      </c>
      <c r="J34">
        <f>33*Q34-K34</f>
        <v>158</v>
      </c>
      <c r="K34">
        <v>7</v>
      </c>
      <c r="L34" s="28">
        <f>_xlfn.XLOOKUP(G34,产品资料!C:C,产品资料!O:O)*J34</f>
        <v>135.85750079999997</v>
      </c>
      <c r="M34" s="31">
        <f>IFERROR(_xlfn.XLOOKUP(G34,产品资料!C:C,产品资料!L:L)*J34,0)</f>
        <v>404.79599999999999</v>
      </c>
      <c r="N34">
        <f>IFERROR(_xlfn.XLOOKUP(G34,产品资料!C:C,产品资料!M:M)*J34,0)</f>
        <v>1264</v>
      </c>
      <c r="O34" s="51"/>
      <c r="P34" s="23">
        <f>IF(ISNUMBER(SEARCH("合包",R34)),SUMIFS(J:J,G:G,G:G,F:F,F:F)-SUMIFS(打包记录!J:J,打包记录!G:G,G:G,打包记录!F:F,F:F),SUMIFS(J:J,D:D,D:D,G:G,G:G,F:F,F:F)-SUMIFS(打包记录!J:J,打包记录!D:D,D:D,打包记录!G:G,G:G,打包记录!F:F,F:F))</f>
        <v>571</v>
      </c>
      <c r="Q34">
        <v>5</v>
      </c>
    </row>
    <row r="35" spans="1:17" ht="14.25" customHeight="1" x14ac:dyDescent="0.15">
      <c r="A35">
        <v>31</v>
      </c>
      <c r="B35" s="21">
        <v>46240</v>
      </c>
      <c r="C35" t="s">
        <v>192</v>
      </c>
      <c r="D35" t="s">
        <v>179</v>
      </c>
      <c r="E35" t="s">
        <v>207</v>
      </c>
      <c r="F35">
        <v>39407267</v>
      </c>
      <c r="G35" t="s">
        <v>35</v>
      </c>
      <c r="H35" t="str">
        <f>_xlfn.XLOOKUP(G35,产品资料!C:C,产品资料!E:E)</f>
        <v>4609顶盖（0.8MM)</v>
      </c>
      <c r="I35" s="23" t="str">
        <f>_xlfn.XLOOKUP(G35,产品资料!C:C,产品资料!F:F)</f>
        <v>0.8*552*1168.5</v>
      </c>
      <c r="J35">
        <f>27*Q35-K35</f>
        <v>268</v>
      </c>
      <c r="K35">
        <v>2</v>
      </c>
      <c r="L35" s="28">
        <f>_xlfn.XLOOKUP(G35,产品资料!C:C,产品资料!O:O)*J35</f>
        <v>1083.3223567999999</v>
      </c>
      <c r="M35" s="31">
        <f>IFERROR(_xlfn.XLOOKUP(G35,产品资料!C:C,产品资料!L:L)*J35,0)</f>
        <v>916.29200000000003</v>
      </c>
      <c r="N35">
        <f>IFERROR(_xlfn.XLOOKUP(G35,产品资料!C:C,产品资料!M:M)*J35,0)</f>
        <v>5092</v>
      </c>
      <c r="O35" s="51" t="s">
        <v>212</v>
      </c>
      <c r="P35" s="23">
        <f>IF(ISNUMBER(SEARCH("合包",R35)),SUMIFS(J:J,G:G,G:G,F:F,F:F)-SUMIFS(打包记录!J:J,打包记录!G:G,G:G,打包记录!F:F,F:F),SUMIFS(J:J,D:D,D:D,G:G,G:G,F:F,F:F)-SUMIFS(打包记录!J:J,打包记录!D:D,D:D,打包记录!G:G,G:G,打包记录!F:F,F:F))</f>
        <v>0</v>
      </c>
      <c r="Q35">
        <v>10</v>
      </c>
    </row>
    <row r="36" spans="1:17" ht="14.25" customHeight="1" x14ac:dyDescent="0.15">
      <c r="A36">
        <v>32</v>
      </c>
      <c r="B36" s="21">
        <v>46240</v>
      </c>
      <c r="C36" t="s">
        <v>192</v>
      </c>
      <c r="D36" t="s">
        <v>179</v>
      </c>
      <c r="E36" t="s">
        <v>207</v>
      </c>
      <c r="F36">
        <v>39407267</v>
      </c>
      <c r="G36" t="s">
        <v>19</v>
      </c>
      <c r="H36" t="str">
        <f>_xlfn.XLOOKUP(G36,产品资料!C:C,产品资料!E:E)</f>
        <v xml:space="preserve">4609底盖小加强板（0.8MM ) </v>
      </c>
      <c r="I36" s="23" t="str">
        <f>_xlfn.XLOOKUP(G36,产品资料!C:C,产品资料!F:F)</f>
        <v>0.8*119*1162</v>
      </c>
      <c r="J36">
        <f>27*Q36-K36</f>
        <v>131</v>
      </c>
      <c r="K36">
        <v>4</v>
      </c>
      <c r="L36" s="28">
        <f>_xlfn.XLOOKUP(G36,产品资料!C:C,产品资料!O:O)*J36</f>
        <v>112.64134559999998</v>
      </c>
      <c r="M36" s="31">
        <f>IFERROR(_xlfn.XLOOKUP(G36,产品资料!C:C,产品资料!L:L)*J36,0)</f>
        <v>335.62199999999996</v>
      </c>
      <c r="N36">
        <f>IFERROR(_xlfn.XLOOKUP(G36,产品资料!C:C,产品资料!M:M)*J36,0)</f>
        <v>1048</v>
      </c>
      <c r="O36" s="51"/>
      <c r="P36" s="23">
        <f>IF(ISNUMBER(SEARCH("合包",R36)),SUMIFS(J:J,G:G,G:G,F:F,F:F)-SUMIFS(打包记录!J:J,打包记录!G:G,G:G,打包记录!F:F,F:F),SUMIFS(J:J,D:D,D:D,G:G,G:G,F:F,F:F)-SUMIFS(打包记录!J:J,打包记录!D:D,D:D,打包记录!G:G,G:G,打包记录!F:F,F:F))</f>
        <v>571</v>
      </c>
      <c r="Q36">
        <v>5</v>
      </c>
    </row>
    <row r="37" spans="1:17" ht="14.25" customHeight="1" x14ac:dyDescent="0.15">
      <c r="A37">
        <v>33</v>
      </c>
      <c r="B37" s="21">
        <v>46240</v>
      </c>
      <c r="C37" t="s">
        <v>189</v>
      </c>
      <c r="D37" s="24" t="s">
        <v>182</v>
      </c>
      <c r="E37" t="s">
        <v>207</v>
      </c>
      <c r="F37">
        <v>39407267</v>
      </c>
      <c r="G37" t="s">
        <v>55</v>
      </c>
      <c r="H37" t="str">
        <f>_xlfn.XLOOKUP(G37,产品资料!C:C,产品资料!E:E)</f>
        <v>4609左内垫板(0.8MM)</v>
      </c>
      <c r="I37" s="23" t="str">
        <f>_xlfn.XLOOKUP(G37,产品资料!C:C,产品资料!F:F)</f>
        <v>0.8*152*662</v>
      </c>
      <c r="J37">
        <f>66*Q37-K37</f>
        <v>1052</v>
      </c>
      <c r="K37">
        <v>4</v>
      </c>
      <c r="L37" s="28">
        <f>_xlfn.XLOOKUP(G37,产品资料!C:C,产品资料!O:O)*J37</f>
        <v>648.10353600000008</v>
      </c>
      <c r="M37" s="31">
        <f>IFERROR(_xlfn.XLOOKUP(G37,产品资料!C:C,产品资料!L:L)*J37,0)</f>
        <v>1868.3520000000001</v>
      </c>
      <c r="N37">
        <f>IFERROR(_xlfn.XLOOKUP(G37,产品资料!C:C,产品资料!M:M)*J37,0)</f>
        <v>6312</v>
      </c>
      <c r="O37" s="51" t="s">
        <v>213</v>
      </c>
      <c r="P37" s="23">
        <f>IF(ISNUMBER(SEARCH("合包",R37)),SUMIFS(J:J,G:G,G:G,F:F,F:F)-SUMIFS(打包记录!J:J,打包记录!G:G,G:G,打包记录!F:F,F:F),SUMIFS(J:J,D:D,D:D,G:G,G:G,F:F,F:F)-SUMIFS(打包记录!J:J,打包记录!D:D,D:D,打包记录!G:G,G:G,打包记录!F:F,F:F))</f>
        <v>4</v>
      </c>
      <c r="Q37">
        <v>16</v>
      </c>
    </row>
    <row r="38" spans="1:17" ht="14.25" customHeight="1" x14ac:dyDescent="0.15">
      <c r="A38">
        <v>34</v>
      </c>
      <c r="B38" s="21">
        <v>46240</v>
      </c>
      <c r="C38" t="s">
        <v>189</v>
      </c>
      <c r="D38" s="24" t="s">
        <v>182</v>
      </c>
      <c r="E38" t="s">
        <v>207</v>
      </c>
      <c r="F38">
        <v>39407267</v>
      </c>
      <c r="G38" t="s">
        <v>95</v>
      </c>
      <c r="H38" t="str">
        <f>_xlfn.XLOOKUP(G38,产品资料!C:C,产品资料!E:E)</f>
        <v>4609顶长拉手（0.8MM ）</v>
      </c>
      <c r="I38" s="23" t="str">
        <f>_xlfn.XLOOKUP(G38,产品资料!C:C,产品资料!F:F)</f>
        <v>0.8*168*1076</v>
      </c>
      <c r="J38">
        <f t="shared" ref="J38:J40" si="2">66*Q38-K38</f>
        <v>527</v>
      </c>
      <c r="K38">
        <v>1</v>
      </c>
      <c r="L38" s="28">
        <f>_xlfn.XLOOKUP(G38,产品资料!C:C,产品资料!O:O)*J38</f>
        <v>596.28342520000012</v>
      </c>
      <c r="M38" s="31">
        <f>IFERROR(_xlfn.XLOOKUP(G38,产品资料!C:C,产品资料!L:L)*J38,0)</f>
        <v>1308.0140000000001</v>
      </c>
      <c r="N38">
        <f>IFERROR(_xlfn.XLOOKUP(G38,产品资料!C:C,产品资料!M:M)*J38,0)</f>
        <v>0</v>
      </c>
      <c r="O38" s="51"/>
      <c r="P38" s="23">
        <f>IF(ISNUMBER(SEARCH("合包",R38)),SUMIFS(J:J,G:G,G:G,F:F,F:F)-SUMIFS(打包记录!J:J,打包记录!G:G,G:G,打包记录!F:F,F:F),SUMIFS(J:J,D:D,D:D,G:G,G:G,F:F,F:F)-SUMIFS(打包记录!J:J,打包记录!D:D,D:D,打包记录!G:G,G:G,打包记录!F:F,F:F))</f>
        <v>2</v>
      </c>
      <c r="Q38">
        <v>8</v>
      </c>
    </row>
    <row r="39" spans="1:17" ht="14.25" customHeight="1" x14ac:dyDescent="0.15">
      <c r="A39">
        <v>35</v>
      </c>
      <c r="B39" s="21">
        <v>46240</v>
      </c>
      <c r="C39" t="s">
        <v>189</v>
      </c>
      <c r="D39" s="24" t="s">
        <v>182</v>
      </c>
      <c r="E39" t="s">
        <v>207</v>
      </c>
      <c r="F39">
        <v>39407267</v>
      </c>
      <c r="G39" t="s">
        <v>115</v>
      </c>
      <c r="H39" t="str">
        <f>_xlfn.XLOOKUP(G39,产品资料!C:C,产品资料!E:E)</f>
        <v>4609中拉手(0.8MM）</v>
      </c>
      <c r="I39" s="23" t="str">
        <f>_xlfn.XLOOKUP(G39,产品资料!C:C,产品资料!F:F)</f>
        <v>0.8*155*515</v>
      </c>
      <c r="J39">
        <f t="shared" si="2"/>
        <v>528</v>
      </c>
      <c r="L39" s="28">
        <f>_xlfn.XLOOKUP(G39,产品资料!C:C,产品资料!O:O)*J39</f>
        <v>263.54296319999997</v>
      </c>
      <c r="M39" s="31">
        <f>IFERROR(_xlfn.XLOOKUP(G39,产品资料!C:C,产品资料!L:L)*J39,0)</f>
        <v>704.35200000000009</v>
      </c>
      <c r="N39">
        <f>IFERROR(_xlfn.XLOOKUP(G39,产品资料!C:C,产品资料!M:M)*J39,0)</f>
        <v>0</v>
      </c>
      <c r="O39" s="51"/>
      <c r="P39" s="23">
        <f>IF(ISNUMBER(SEARCH("合包",R39)),SUMIFS(J:J,G:G,G:G,F:F,F:F)-SUMIFS(打包记录!J:J,打包记录!G:G,G:G,打包记录!F:F,F:F),SUMIFS(J:J,D:D,D:D,G:G,G:G,F:F,F:F)-SUMIFS(打包记录!J:J,打包记录!D:D,D:D,打包记录!G:G,G:G,打包记录!F:F,F:F))</f>
        <v>10</v>
      </c>
      <c r="Q39">
        <v>8</v>
      </c>
    </row>
    <row r="40" spans="1:17" ht="14.25" customHeight="1" x14ac:dyDescent="0.15">
      <c r="A40">
        <v>36</v>
      </c>
      <c r="B40" s="21">
        <v>46240</v>
      </c>
      <c r="C40" t="s">
        <v>189</v>
      </c>
      <c r="D40" s="24" t="s">
        <v>182</v>
      </c>
      <c r="E40" t="s">
        <v>207</v>
      </c>
      <c r="F40">
        <v>39407267</v>
      </c>
      <c r="G40" t="s">
        <v>120</v>
      </c>
      <c r="H40" t="str">
        <f>_xlfn.XLOOKUP(G40,产品资料!C:C,产品资料!E:E)</f>
        <v>4609大抽斗(0.8MM)</v>
      </c>
      <c r="I40" s="23" t="str">
        <f>_xlfn.XLOOKUP(G40,产品资料!C:C,产品资料!F:F)</f>
        <v>0.8*418*919</v>
      </c>
      <c r="J40">
        <f t="shared" si="2"/>
        <v>1847</v>
      </c>
      <c r="K40">
        <v>1</v>
      </c>
      <c r="L40" s="28">
        <f>_xlfn.XLOOKUP(G40,产品资料!C:C,产品资料!O:O)*J40</f>
        <v>4435.7507671999992</v>
      </c>
      <c r="M40" s="31">
        <f>IFERROR(_xlfn.XLOOKUP(G40,产品资料!C:C,产品资料!L:L)*J40,0)</f>
        <v>5025.6869999999999</v>
      </c>
      <c r="N40">
        <f>IFERROR(_xlfn.XLOOKUP(G40,产品资料!C:C,产品资料!M:M)*J40,0)</f>
        <v>33246</v>
      </c>
      <c r="O40" s="51"/>
      <c r="P40" s="23">
        <f>IF(ISNUMBER(SEARCH("合包",R40)),SUMIFS(J:J,G:G,G:G,F:F,F:F)-SUMIFS(打包记录!J:J,打包记录!G:G,G:G,打包记录!F:F,F:F),SUMIFS(J:J,D:D,D:D,G:G,G:G,F:F,F:F)-SUMIFS(打包记录!J:J,打包记录!D:D,D:D,打包记录!G:G,G:G,打包记录!F:F,F:F))</f>
        <v>2</v>
      </c>
      <c r="Q40">
        <v>28</v>
      </c>
    </row>
    <row r="41" spans="1:17" ht="14.25" customHeight="1" x14ac:dyDescent="0.15">
      <c r="A41">
        <v>37</v>
      </c>
      <c r="B41" s="21">
        <v>46242</v>
      </c>
      <c r="C41" t="s">
        <v>191</v>
      </c>
      <c r="D41" s="24" t="s">
        <v>182</v>
      </c>
      <c r="E41" t="s">
        <v>207</v>
      </c>
      <c r="F41">
        <v>39407267</v>
      </c>
      <c r="G41" t="s">
        <v>55</v>
      </c>
      <c r="H41" t="str">
        <f>_xlfn.XLOOKUP(G41,产品资料!C:C,产品资料!E:E)</f>
        <v>4609左内垫板(0.8MM)</v>
      </c>
      <c r="I41" s="23" t="str">
        <f>_xlfn.XLOOKUP(G41,产品资料!C:C,产品资料!F:F)</f>
        <v>0.8*152*662</v>
      </c>
      <c r="J41">
        <f>20*Q41-K41</f>
        <v>314</v>
      </c>
      <c r="K41">
        <v>6</v>
      </c>
      <c r="L41" s="28">
        <f>_xlfn.XLOOKUP(G41,产品资料!C:C,产品资料!O:O)*J41</f>
        <v>193.44535200000001</v>
      </c>
      <c r="M41" s="31">
        <f>IFERROR(_xlfn.XLOOKUP(G41,产品资料!C:C,产品资料!L:L)*J41,0)</f>
        <v>557.66399999999999</v>
      </c>
      <c r="N41">
        <f>IFERROR(_xlfn.XLOOKUP(G41,产品资料!C:C,产品资料!M:M)*J41,0)</f>
        <v>1884</v>
      </c>
      <c r="O41" s="51" t="s">
        <v>214</v>
      </c>
      <c r="P41" s="23">
        <f>IF(ISNUMBER(SEARCH("合包",R41)),SUMIFS(J:J,G:G,G:G,F:F,F:F)-SUMIFS(打包记录!J:J,打包记录!G:G,G:G,打包记录!F:F,F:F),SUMIFS(J:J,D:D,D:D,G:G,G:G,F:F,F:F)-SUMIFS(打包记录!J:J,打包记录!D:D,D:D,打包记录!G:G,G:G,打包记录!F:F,F:F))</f>
        <v>4</v>
      </c>
      <c r="Q41">
        <v>16</v>
      </c>
    </row>
    <row r="42" spans="1:17" ht="14.25" customHeight="1" x14ac:dyDescent="0.15">
      <c r="A42">
        <v>38</v>
      </c>
      <c r="B42" s="21">
        <v>46242</v>
      </c>
      <c r="C42" t="s">
        <v>191</v>
      </c>
      <c r="D42" s="24" t="s">
        <v>182</v>
      </c>
      <c r="E42" t="s">
        <v>207</v>
      </c>
      <c r="F42">
        <v>39407267</v>
      </c>
      <c r="G42" t="s">
        <v>95</v>
      </c>
      <c r="H42" t="str">
        <f>_xlfn.XLOOKUP(G42,产品资料!C:C,产品资料!E:E)</f>
        <v>4609顶长拉手（0.8MM ）</v>
      </c>
      <c r="I42" s="23" t="str">
        <f>_xlfn.XLOOKUP(G42,产品资料!C:C,产品资料!F:F)</f>
        <v>0.8*168*1076</v>
      </c>
      <c r="J42">
        <f>20*Q42-K42</f>
        <v>155</v>
      </c>
      <c r="K42">
        <v>5</v>
      </c>
      <c r="L42" s="28">
        <f>_xlfn.XLOOKUP(G42,产品资料!C:C,产品资料!O:O)*J42</f>
        <v>175.37747800000002</v>
      </c>
      <c r="M42" s="31">
        <f>IFERROR(_xlfn.XLOOKUP(G42,产品资料!C:C,产品资料!L:L)*J42,0)</f>
        <v>384.71000000000004</v>
      </c>
      <c r="N42">
        <f>IFERROR(_xlfn.XLOOKUP(G42,产品资料!C:C,产品资料!M:M)*J42,0)</f>
        <v>0</v>
      </c>
      <c r="O42" s="51"/>
      <c r="P42" s="23">
        <f>IF(ISNUMBER(SEARCH("合包",R42)),SUMIFS(J:J,G:G,G:G,F:F,F:F)-SUMIFS(打包记录!J:J,打包记录!G:G,G:G,打包记录!F:F,F:F),SUMIFS(J:J,D:D,D:D,G:G,G:G,F:F,F:F)-SUMIFS(打包记录!J:J,打包记录!D:D,D:D,打包记录!G:G,G:G,打包记录!F:F,F:F))</f>
        <v>2</v>
      </c>
      <c r="Q42">
        <v>8</v>
      </c>
    </row>
    <row r="43" spans="1:17" ht="14.25" customHeight="1" x14ac:dyDescent="0.15">
      <c r="A43">
        <v>39</v>
      </c>
      <c r="B43" s="21">
        <v>46242</v>
      </c>
      <c r="C43" t="s">
        <v>191</v>
      </c>
      <c r="D43" s="24" t="s">
        <v>182</v>
      </c>
      <c r="E43" t="s">
        <v>207</v>
      </c>
      <c r="F43">
        <v>39407267</v>
      </c>
      <c r="G43" t="s">
        <v>115</v>
      </c>
      <c r="H43" t="str">
        <f>_xlfn.XLOOKUP(G43,产品资料!C:C,产品资料!E:E)</f>
        <v>4609中拉手(0.8MM）</v>
      </c>
      <c r="I43" s="23" t="str">
        <f>_xlfn.XLOOKUP(G43,产品资料!C:C,产品资料!F:F)</f>
        <v>0.8*155*515</v>
      </c>
      <c r="J43">
        <f>20*Q43-K43</f>
        <v>158</v>
      </c>
      <c r="K43">
        <v>2</v>
      </c>
      <c r="L43" s="28">
        <f>_xlfn.XLOOKUP(G43,产品资料!C:C,产品资料!O:O)*J43</f>
        <v>78.863235199999991</v>
      </c>
      <c r="M43" s="31">
        <f>IFERROR(_xlfn.XLOOKUP(G43,产品资料!C:C,产品资料!L:L)*J43,0)</f>
        <v>210.77200000000002</v>
      </c>
      <c r="N43">
        <f>IFERROR(_xlfn.XLOOKUP(G43,产品资料!C:C,产品资料!M:M)*J43,0)</f>
        <v>0</v>
      </c>
      <c r="O43" s="51"/>
      <c r="P43" s="23">
        <f>IF(ISNUMBER(SEARCH("合包",R43)),SUMIFS(J:J,G:G,G:G,F:F,F:F)-SUMIFS(打包记录!J:J,打包记录!G:G,G:G,打包记录!F:F,F:F),SUMIFS(J:J,D:D,D:D,G:G,G:G,F:F,F:F)-SUMIFS(打包记录!J:J,打包记录!D:D,D:D,打包记录!G:G,G:G,打包记录!F:F,F:F))</f>
        <v>10</v>
      </c>
      <c r="Q43">
        <v>8</v>
      </c>
    </row>
    <row r="44" spans="1:17" ht="14.25" customHeight="1" x14ac:dyDescent="0.15">
      <c r="A44">
        <v>40</v>
      </c>
      <c r="B44" s="21">
        <v>46242</v>
      </c>
      <c r="C44" t="s">
        <v>191</v>
      </c>
      <c r="D44" s="24" t="s">
        <v>182</v>
      </c>
      <c r="E44" t="s">
        <v>207</v>
      </c>
      <c r="F44">
        <v>39407267</v>
      </c>
      <c r="G44" t="s">
        <v>120</v>
      </c>
      <c r="H44" t="str">
        <f>_xlfn.XLOOKUP(G44,产品资料!C:C,产品资料!E:E)</f>
        <v>4609大抽斗(0.8MM)</v>
      </c>
      <c r="I44" s="23" t="str">
        <f>_xlfn.XLOOKUP(G44,产品资料!C:C,产品资料!F:F)</f>
        <v>0.8*418*919</v>
      </c>
      <c r="J44">
        <f>20*Q44-K44</f>
        <v>551</v>
      </c>
      <c r="K44">
        <v>9</v>
      </c>
      <c r="L44" s="28">
        <f>_xlfn.XLOOKUP(G44,产品资料!C:C,产品资料!O:O)*J44</f>
        <v>1323.2802775999999</v>
      </c>
      <c r="M44" s="31">
        <f>IFERROR(_xlfn.XLOOKUP(G44,产品资料!C:C,产品资料!L:L)*J44,0)</f>
        <v>1499.271</v>
      </c>
      <c r="N44">
        <f>IFERROR(_xlfn.XLOOKUP(G44,产品资料!C:C,产品资料!M:M)*J44,0)</f>
        <v>9918</v>
      </c>
      <c r="O44" s="51"/>
      <c r="P44" s="23">
        <f>IF(ISNUMBER(SEARCH("合包",R44)),SUMIFS(J:J,G:G,G:G,F:F,F:F)-SUMIFS(打包记录!J:J,打包记录!G:G,G:G,打包记录!F:F,F:F),SUMIFS(J:J,D:D,D:D,G:G,G:G,F:F,F:F)-SUMIFS(打包记录!J:J,打包记录!D:D,D:D,打包记录!G:G,G:G,打包记录!F:F,F:F))</f>
        <v>2</v>
      </c>
      <c r="Q44">
        <v>28</v>
      </c>
    </row>
    <row r="45" spans="1:17" ht="14.25" customHeight="1" x14ac:dyDescent="0.15">
      <c r="A45">
        <v>41</v>
      </c>
      <c r="B45" s="21">
        <v>46242</v>
      </c>
      <c r="C45" t="s">
        <v>191</v>
      </c>
      <c r="D45" s="24" t="s">
        <v>182</v>
      </c>
      <c r="E45" t="s">
        <v>215</v>
      </c>
      <c r="F45">
        <v>39407267</v>
      </c>
      <c r="G45" t="s">
        <v>130</v>
      </c>
      <c r="H45" t="str">
        <f>_xlfn.XLOOKUP(G45,产品资料!C:C,产品资料!E:E)</f>
        <v>4609横槽(0.9MM)</v>
      </c>
      <c r="I45" s="23" t="str">
        <f>_xlfn.XLOOKUP(G45,产品资料!C:C,产品资料!F:F)</f>
        <v>0.9*86.5*1168.5</v>
      </c>
      <c r="J45">
        <f>61*Q45-K45-4088</f>
        <v>2737</v>
      </c>
      <c r="K45">
        <v>7</v>
      </c>
      <c r="L45" s="28">
        <f>_xlfn.XLOOKUP(G45,产品资料!C:C,产品资料!O:O)*J45</f>
        <v>1941.23189295</v>
      </c>
      <c r="M45" s="31">
        <f>IFERROR(_xlfn.XLOOKUP(G45,产品资料!C:C,产品资料!L:L)*J45,0)</f>
        <v>6976.6129999999994</v>
      </c>
      <c r="N45">
        <f>IFERROR(_xlfn.XLOOKUP(G45,产品资料!C:C,产品资料!M:M)*J45,0)</f>
        <v>0</v>
      </c>
      <c r="O45" s="36"/>
      <c r="P45" s="23">
        <f>IF(ISNUMBER(SEARCH("合包",R45)),SUMIFS(J:J,G:G,G:G,F:F,F:F)-SUMIFS(打包记录!J:J,打包记录!G:G,G:G,打包记录!F:F,F:F),SUMIFS(J:J,D:D,D:D,G:G,G:G,F:F,F:F)-SUMIFS(打包记录!J:J,打包记录!D:D,D:D,打包记录!G:G,G:G,打包记录!F:F,F:F))</f>
        <v>-43</v>
      </c>
      <c r="Q45">
        <v>112</v>
      </c>
    </row>
    <row r="46" spans="1:17" ht="14.25" customHeight="1" x14ac:dyDescent="0.15">
      <c r="A46">
        <v>42</v>
      </c>
      <c r="B46" s="21">
        <v>46244</v>
      </c>
      <c r="C46" t="s">
        <v>191</v>
      </c>
      <c r="D46" s="24" t="s">
        <v>182</v>
      </c>
      <c r="E46" t="s">
        <v>215</v>
      </c>
      <c r="F46">
        <v>39407267</v>
      </c>
      <c r="G46" t="s">
        <v>130</v>
      </c>
      <c r="H46" t="str">
        <f>_xlfn.XLOOKUP(G46,产品资料!C:C,产品资料!E:E)</f>
        <v>4609横槽(0.9MM)</v>
      </c>
      <c r="I46" s="23" t="str">
        <f>_xlfn.XLOOKUP(G46,产品资料!C:C,产品资料!F:F)</f>
        <v>0.9*86.5*1168.5</v>
      </c>
      <c r="J46">
        <f>8*Q46-K46</f>
        <v>883</v>
      </c>
      <c r="K46">
        <v>13</v>
      </c>
      <c r="L46" s="28">
        <f>_xlfn.XLOOKUP(G46,产品资料!C:C,产品资料!O:O)*J46</f>
        <v>626.27247404999991</v>
      </c>
      <c r="M46" s="31">
        <f>IFERROR(_xlfn.XLOOKUP(G46,产品资料!C:C,产品资料!L:L)*J46,0)</f>
        <v>2250.7669999999998</v>
      </c>
      <c r="N46">
        <f>IFERROR(_xlfn.XLOOKUP(G46,产品资料!C:C,产品资料!M:M)*J46,0)</f>
        <v>0</v>
      </c>
      <c r="O46" s="32" t="s">
        <v>216</v>
      </c>
      <c r="P46" s="23">
        <f>IF(ISNUMBER(SEARCH("合包",R46)),SUMIFS(J:J,G:G,G:G,F:F,F:F)-SUMIFS(打包记录!J:J,打包记录!G:G,G:G,打包记录!F:F,F:F),SUMIFS(J:J,D:D,D:D,G:G,G:G,F:F,F:F)-SUMIFS(打包记录!J:J,打包记录!D:D,D:D,打包记录!G:G,G:G,打包记录!F:F,F:F))</f>
        <v>-43</v>
      </c>
      <c r="Q46">
        <v>112</v>
      </c>
    </row>
    <row r="47" spans="1:17" ht="14.25" customHeight="1" x14ac:dyDescent="0.15">
      <c r="A47">
        <v>43</v>
      </c>
      <c r="B47" s="21">
        <v>46244</v>
      </c>
      <c r="C47" t="s">
        <v>191</v>
      </c>
      <c r="D47" s="24" t="s">
        <v>182</v>
      </c>
      <c r="E47" t="s">
        <v>207</v>
      </c>
      <c r="F47">
        <v>39407267</v>
      </c>
      <c r="G47" t="s">
        <v>55</v>
      </c>
      <c r="H47" t="str">
        <f>_xlfn.XLOOKUP(G47,产品资料!C:C,产品资料!E:E)</f>
        <v>4609左内垫板(0.8MM)</v>
      </c>
      <c r="I47" s="23" t="str">
        <f>_xlfn.XLOOKUP(G47,产品资料!C:C,产品资料!F:F)</f>
        <v>0.8*152*662</v>
      </c>
      <c r="J47">
        <f>55*Q47-K47</f>
        <v>872</v>
      </c>
      <c r="K47">
        <v>8</v>
      </c>
      <c r="L47" s="28">
        <f>_xlfn.XLOOKUP(G47,产品资料!C:C,产品资料!O:O)*J47</f>
        <v>537.21129600000006</v>
      </c>
      <c r="M47" s="31">
        <f>IFERROR(_xlfn.XLOOKUP(G47,产品资料!C:C,产品资料!L:L)*J47,0)</f>
        <v>1548.672</v>
      </c>
      <c r="N47">
        <f>IFERROR(_xlfn.XLOOKUP(G47,产品资料!C:C,产品资料!M:M)*J47,0)</f>
        <v>5232</v>
      </c>
      <c r="O47" s="51" t="s">
        <v>217</v>
      </c>
      <c r="P47" s="23">
        <f>IF(ISNUMBER(SEARCH("合包",R47)),SUMIFS(J:J,G:G,G:G,F:F,F:F)-SUMIFS(打包记录!J:J,打包记录!G:G,G:G,打包记录!F:F,F:F),SUMIFS(J:J,D:D,D:D,G:G,G:G,F:F,F:F)-SUMIFS(打包记录!J:J,打包记录!D:D,D:D,打包记录!G:G,G:G,打包记录!F:F,F:F))</f>
        <v>4</v>
      </c>
      <c r="Q47">
        <v>16</v>
      </c>
    </row>
    <row r="48" spans="1:17" ht="14.25" customHeight="1" x14ac:dyDescent="0.15">
      <c r="A48">
        <v>44</v>
      </c>
      <c r="B48" s="21">
        <v>46244</v>
      </c>
      <c r="C48" t="s">
        <v>191</v>
      </c>
      <c r="D48" s="24" t="s">
        <v>182</v>
      </c>
      <c r="E48" t="s">
        <v>207</v>
      </c>
      <c r="F48">
        <v>39407267</v>
      </c>
      <c r="G48" t="s">
        <v>95</v>
      </c>
      <c r="H48" t="str">
        <f>_xlfn.XLOOKUP(G48,产品资料!C:C,产品资料!E:E)</f>
        <v>4609顶长拉手（0.8MM ）</v>
      </c>
      <c r="I48" s="23" t="str">
        <f>_xlfn.XLOOKUP(G48,产品资料!C:C,产品资料!F:F)</f>
        <v>0.8*168*1076</v>
      </c>
      <c r="J48">
        <f>55*Q48-K48</f>
        <v>436</v>
      </c>
      <c r="K48">
        <v>4</v>
      </c>
      <c r="L48" s="28">
        <f>_xlfn.XLOOKUP(G48,产品资料!C:C,产品资料!O:O)*J48</f>
        <v>493.31987360000005</v>
      </c>
      <c r="M48" s="31">
        <f>IFERROR(_xlfn.XLOOKUP(G48,产品资料!C:C,产品资料!L:L)*J48,0)</f>
        <v>1082.152</v>
      </c>
      <c r="N48">
        <f>IFERROR(_xlfn.XLOOKUP(G48,产品资料!C:C,产品资料!M:M)*J48,0)</f>
        <v>0</v>
      </c>
      <c r="O48" s="51"/>
      <c r="P48" s="23">
        <f>IF(ISNUMBER(SEARCH("合包",R48)),SUMIFS(J:J,G:G,G:G,F:F,F:F)-SUMIFS(打包记录!J:J,打包记录!G:G,G:G,打包记录!F:F,F:F),SUMIFS(J:J,D:D,D:D,G:G,G:G,F:F,F:F)-SUMIFS(打包记录!J:J,打包记录!D:D,D:D,打包记录!G:G,G:G,打包记录!F:F,F:F))</f>
        <v>2</v>
      </c>
      <c r="Q48">
        <v>8</v>
      </c>
    </row>
    <row r="49" spans="1:17" ht="14.25" customHeight="1" x14ac:dyDescent="0.15">
      <c r="A49">
        <v>45</v>
      </c>
      <c r="B49" s="21">
        <v>46244</v>
      </c>
      <c r="C49" t="s">
        <v>191</v>
      </c>
      <c r="D49" s="24" t="s">
        <v>182</v>
      </c>
      <c r="E49" t="s">
        <v>207</v>
      </c>
      <c r="F49">
        <v>39407267</v>
      </c>
      <c r="G49" t="s">
        <v>115</v>
      </c>
      <c r="H49" t="str">
        <f>_xlfn.XLOOKUP(G49,产品资料!C:C,产品资料!E:E)</f>
        <v>4609中拉手(0.8MM）</v>
      </c>
      <c r="I49" s="23" t="str">
        <f>_xlfn.XLOOKUP(G49,产品资料!C:C,产品资料!F:F)</f>
        <v>0.8*155*515</v>
      </c>
      <c r="J49">
        <f>55*Q49-K49</f>
        <v>440</v>
      </c>
      <c r="L49" s="28">
        <f>_xlfn.XLOOKUP(G49,产品资料!C:C,产品资料!O:O)*J49</f>
        <v>219.619136</v>
      </c>
      <c r="M49" s="31">
        <f>IFERROR(_xlfn.XLOOKUP(G49,产品资料!C:C,产品资料!L:L)*J49,0)</f>
        <v>586.96</v>
      </c>
      <c r="N49">
        <f>IFERROR(_xlfn.XLOOKUP(G49,产品资料!C:C,产品资料!M:M)*J49,0)</f>
        <v>0</v>
      </c>
      <c r="O49" s="51"/>
      <c r="P49" s="23">
        <f>IF(ISNUMBER(SEARCH("合包",R49)),SUMIFS(J:J,G:G,G:G,F:F,F:F)-SUMIFS(打包记录!J:J,打包记录!G:G,G:G,打包记录!F:F,F:F),SUMIFS(J:J,D:D,D:D,G:G,G:G,F:F,F:F)-SUMIFS(打包记录!J:J,打包记录!D:D,D:D,打包记录!G:G,G:G,打包记录!F:F,F:F))</f>
        <v>10</v>
      </c>
      <c r="Q49">
        <v>8</v>
      </c>
    </row>
    <row r="50" spans="1:17" ht="14.25" customHeight="1" x14ac:dyDescent="0.15">
      <c r="A50">
        <v>46</v>
      </c>
      <c r="B50" s="21">
        <v>46244</v>
      </c>
      <c r="C50" t="s">
        <v>191</v>
      </c>
      <c r="D50" s="24" t="s">
        <v>182</v>
      </c>
      <c r="E50" t="s">
        <v>207</v>
      </c>
      <c r="F50">
        <v>39407267</v>
      </c>
      <c r="G50" t="s">
        <v>120</v>
      </c>
      <c r="H50" t="str">
        <f>_xlfn.XLOOKUP(G50,产品资料!C:C,产品资料!E:E)</f>
        <v>4609大抽斗(0.8MM)</v>
      </c>
      <c r="I50" s="23" t="str">
        <f>_xlfn.XLOOKUP(G50,产品资料!C:C,产品资料!F:F)</f>
        <v>0.8*418*919</v>
      </c>
      <c r="J50">
        <f>55*Q50-K50</f>
        <v>1534</v>
      </c>
      <c r="K50">
        <v>6</v>
      </c>
      <c r="L50" s="28">
        <f>_xlfn.XLOOKUP(G50,产品资料!C:C,产品资料!O:O)*J50</f>
        <v>3684.0507183999994</v>
      </c>
      <c r="M50" s="31">
        <f>IFERROR(_xlfn.XLOOKUP(G50,产品资料!C:C,产品资料!L:L)*J50,0)</f>
        <v>4174.0140000000001</v>
      </c>
      <c r="N50">
        <f>IFERROR(_xlfn.XLOOKUP(G50,产品资料!C:C,产品资料!M:M)*J50,0)</f>
        <v>27612</v>
      </c>
      <c r="O50" s="51"/>
      <c r="P50" s="23">
        <f>IF(ISNUMBER(SEARCH("合包",R50)),SUMIFS(J:J,G:G,G:G,F:F,F:F)-SUMIFS(打包记录!J:J,打包记录!G:G,G:G,打包记录!F:F,F:F),SUMIFS(J:J,D:D,D:D,G:G,G:G,F:F,F:F)-SUMIFS(打包记录!J:J,打包记录!D:D,D:D,打包记录!G:G,G:G,打包记录!F:F,F:F))</f>
        <v>2</v>
      </c>
      <c r="Q50">
        <v>28</v>
      </c>
    </row>
    <row r="51" spans="1:17" ht="14.25" customHeight="1" x14ac:dyDescent="0.15">
      <c r="A51">
        <v>47</v>
      </c>
      <c r="B51" s="21">
        <v>46244</v>
      </c>
      <c r="C51" t="s">
        <v>192</v>
      </c>
      <c r="D51" t="s">
        <v>179</v>
      </c>
      <c r="E51" t="s">
        <v>207</v>
      </c>
      <c r="F51">
        <v>39407267</v>
      </c>
      <c r="G51" t="s">
        <v>35</v>
      </c>
      <c r="H51" t="str">
        <f>_xlfn.XLOOKUP(G51,产品资料!C:C,产品资料!E:E)</f>
        <v>4609顶盖（0.8MM)</v>
      </c>
      <c r="I51" s="23" t="str">
        <f>_xlfn.XLOOKUP(G51,产品资料!C:C,产品资料!F:F)</f>
        <v>0.8*552*1168.5</v>
      </c>
      <c r="J51">
        <f>24*Q51-K51</f>
        <v>235</v>
      </c>
      <c r="K51">
        <v>5</v>
      </c>
      <c r="L51" s="28">
        <f>_xlfn.XLOOKUP(G51,产品资料!C:C,产品资料!O:O)*J51</f>
        <v>949.92818599999987</v>
      </c>
      <c r="M51" s="31">
        <f>IFERROR(_xlfn.XLOOKUP(G51,产品资料!C:C,产品资料!L:L)*J51,0)</f>
        <v>803.46500000000003</v>
      </c>
      <c r="N51">
        <f>IFERROR(_xlfn.XLOOKUP(G51,产品资料!C:C,产品资料!M:M)*J51,0)</f>
        <v>4465</v>
      </c>
      <c r="O51" s="51" t="s">
        <v>218</v>
      </c>
      <c r="P51" s="23">
        <f>IF(ISNUMBER(SEARCH("合包",R51)),SUMIFS(J:J,G:G,G:G,F:F,F:F)-SUMIFS(打包记录!J:J,打包记录!G:G,G:G,打包记录!F:F,F:F),SUMIFS(J:J,D:D,D:D,G:G,G:G,F:F,F:F)-SUMIFS(打包记录!J:J,打包记录!D:D,D:D,打包记录!G:G,G:G,打包记录!F:F,F:F))</f>
        <v>0</v>
      </c>
      <c r="Q51">
        <v>10</v>
      </c>
    </row>
    <row r="52" spans="1:17" ht="14.25" customHeight="1" x14ac:dyDescent="0.15">
      <c r="A52">
        <v>48</v>
      </c>
      <c r="B52" s="21">
        <v>46244</v>
      </c>
      <c r="C52" t="s">
        <v>192</v>
      </c>
      <c r="D52" t="s">
        <v>179</v>
      </c>
      <c r="E52" t="s">
        <v>207</v>
      </c>
      <c r="F52">
        <v>39407267</v>
      </c>
      <c r="G52" t="s">
        <v>19</v>
      </c>
      <c r="H52" t="str">
        <f>_xlfn.XLOOKUP(G52,产品资料!C:C,产品资料!E:E)</f>
        <v xml:space="preserve">4609底盖小加强板（0.8MM ) </v>
      </c>
      <c r="I52" s="23" t="str">
        <f>_xlfn.XLOOKUP(G52,产品资料!C:C,产品资料!F:F)</f>
        <v>0.8*119*1162</v>
      </c>
      <c r="J52">
        <f>24*Q52-K52</f>
        <v>114</v>
      </c>
      <c r="K52">
        <v>6</v>
      </c>
      <c r="L52" s="28">
        <f>_xlfn.XLOOKUP(G52,产品资料!C:C,产品资料!O:O)*J52</f>
        <v>98.023766399999985</v>
      </c>
      <c r="M52" s="31">
        <f>IFERROR(_xlfn.XLOOKUP(G52,产品资料!C:C,产品资料!L:L)*J52,0)</f>
        <v>292.06799999999998</v>
      </c>
      <c r="N52">
        <f>IFERROR(_xlfn.XLOOKUP(G52,产品资料!C:C,产品资料!M:M)*J52,0)</f>
        <v>912</v>
      </c>
      <c r="O52" s="51"/>
      <c r="P52" s="23">
        <f>IF(ISNUMBER(SEARCH("合包",R52)),SUMIFS(J:J,G:G,G:G,F:F,F:F)-SUMIFS(打包记录!J:J,打包记录!G:G,G:G,打包记录!F:F,F:F),SUMIFS(J:J,D:D,D:D,G:G,G:G,F:F,F:F)-SUMIFS(打包记录!J:J,打包记录!D:D,D:D,打包记录!G:G,G:G,打包记录!F:F,F:F))</f>
        <v>571</v>
      </c>
      <c r="Q52">
        <v>5</v>
      </c>
    </row>
    <row r="53" spans="1:17" ht="14.25" customHeight="1" x14ac:dyDescent="0.15">
      <c r="A53">
        <v>49</v>
      </c>
      <c r="B53" s="21">
        <v>46244</v>
      </c>
      <c r="C53" t="s">
        <v>192</v>
      </c>
      <c r="D53" t="s">
        <v>179</v>
      </c>
      <c r="E53" t="s">
        <v>207</v>
      </c>
      <c r="F53">
        <v>39407267</v>
      </c>
      <c r="G53" t="s">
        <v>19</v>
      </c>
      <c r="H53" t="str">
        <f>_xlfn.XLOOKUP(G53,产品资料!C:C,产品资料!E:E)</f>
        <v xml:space="preserve">4609底盖小加强板（0.8MM ) </v>
      </c>
      <c r="I53" s="23" t="str">
        <f>_xlfn.XLOOKUP(G53,产品资料!C:C,产品资料!F:F)</f>
        <v>0.8*119*1162</v>
      </c>
      <c r="J53">
        <f>1*Q53-K53</f>
        <v>5</v>
      </c>
      <c r="L53" s="28">
        <f>_xlfn.XLOOKUP(G53,产品资料!C:C,产品资料!O:O)*J53</f>
        <v>4.2992879999999998</v>
      </c>
      <c r="M53" s="31">
        <f>IFERROR(_xlfn.XLOOKUP(G53,产品资料!C:C,产品资料!L:L)*J53,0)</f>
        <v>12.809999999999999</v>
      </c>
      <c r="N53">
        <f>IFERROR(_xlfn.XLOOKUP(G53,产品资料!C:C,产品资料!M:M)*J53,0)</f>
        <v>40</v>
      </c>
      <c r="O53" s="51" t="s">
        <v>219</v>
      </c>
      <c r="P53" s="23">
        <f>IF(ISNUMBER(SEARCH("合包",R53)),SUMIFS(J:J,G:G,G:G,F:F,F:F)-SUMIFS(打包记录!J:J,打包记录!G:G,G:G,打包记录!F:F,F:F),SUMIFS(J:J,D:D,D:D,G:G,G:G,F:F,F:F)-SUMIFS(打包记录!J:J,打包记录!D:D,D:D,打包记录!G:G,G:G,打包记录!F:F,F:F))</f>
        <v>571</v>
      </c>
      <c r="Q53">
        <v>5</v>
      </c>
    </row>
    <row r="54" spans="1:17" ht="14.25" customHeight="1" x14ac:dyDescent="0.15">
      <c r="A54">
        <v>50</v>
      </c>
      <c r="B54" s="21">
        <v>46244</v>
      </c>
      <c r="C54" t="s">
        <v>192</v>
      </c>
      <c r="D54" t="s">
        <v>179</v>
      </c>
      <c r="E54" t="s">
        <v>207</v>
      </c>
      <c r="F54">
        <v>39407267</v>
      </c>
      <c r="G54" t="s">
        <v>40</v>
      </c>
      <c r="H54" t="str">
        <f>_xlfn.XLOOKUP(G54,产品资料!C:C,产品资料!E:E)</f>
        <v>4609底盖（0.8MM)</v>
      </c>
      <c r="I54" s="23" t="str">
        <f>_xlfn.XLOOKUP(G54,产品资料!C:C,产品资料!F:F)</f>
        <v>0.8*552.5*1211</v>
      </c>
      <c r="J54">
        <f>1*Q54-K54</f>
        <v>8</v>
      </c>
      <c r="L54" s="28">
        <f>_xlfn.XLOOKUP(G54,产品资料!C:C,产品资料!O:O)*J54</f>
        <v>33.251846400000005</v>
      </c>
      <c r="M54" s="31">
        <f>IFERROR(_xlfn.XLOOKUP(G54,产品资料!C:C,产品资料!L:L)*J54,0)</f>
        <v>28.648</v>
      </c>
      <c r="N54">
        <f>IFERROR(_xlfn.XLOOKUP(G54,产品资料!C:C,产品资料!M:M)*J54,0)</f>
        <v>128</v>
      </c>
      <c r="O54" s="51"/>
      <c r="P54" s="23">
        <f>IF(ISNUMBER(SEARCH("合包",R54)),SUMIFS(J:J,G:G,G:G,F:F,F:F)-SUMIFS(打包记录!J:J,打包记录!G:G,G:G,打包记录!F:F,F:F),SUMIFS(J:J,D:D,D:D,G:G,G:G,F:F,F:F)-SUMIFS(打包记录!J:J,打包记录!D:D,D:D,打包记录!G:G,G:G,打包记录!F:F,F:F))</f>
        <v>152</v>
      </c>
      <c r="Q54">
        <v>8</v>
      </c>
    </row>
    <row r="55" spans="1:17" ht="14.25" customHeight="1" x14ac:dyDescent="0.15">
      <c r="A55">
        <v>51</v>
      </c>
      <c r="B55" s="21">
        <v>46244</v>
      </c>
      <c r="C55" t="s">
        <v>192</v>
      </c>
      <c r="D55" t="s">
        <v>179</v>
      </c>
      <c r="E55" t="s">
        <v>207</v>
      </c>
      <c r="F55">
        <v>39407267</v>
      </c>
      <c r="G55" t="s">
        <v>65</v>
      </c>
      <c r="H55" t="str">
        <f>_xlfn.XLOOKUP(G55,产品资料!C:C,产品资料!E:E)</f>
        <v>4609中隔板(0.8MM)</v>
      </c>
      <c r="I55" s="23" t="str">
        <f>_xlfn.XLOOKUP(G55,产品资料!C:C,产品资料!F:F)</f>
        <v>0.8*481.5*550</v>
      </c>
      <c r="J55">
        <f>1*Q55-K55</f>
        <v>4</v>
      </c>
      <c r="L55" s="28">
        <f>_xlfn.XLOOKUP(G55,产品资料!C:C,产品资料!O:O)*J55</f>
        <v>6.6409744000000002</v>
      </c>
      <c r="M55" s="31">
        <f>IFERROR(_xlfn.XLOOKUP(G55,产品资料!C:C,产品资料!L:L)*J55,0)</f>
        <v>8.2520000000000007</v>
      </c>
      <c r="N55">
        <f>IFERROR(_xlfn.XLOOKUP(G55,产品资料!C:C,产品资料!M:M)*J55,0)</f>
        <v>60</v>
      </c>
      <c r="O55" s="51"/>
      <c r="P55" s="23">
        <f>IF(ISNUMBER(SEARCH("合包",R55)),SUMIFS(J:J,G:G,G:G,F:F,F:F)-SUMIFS(打包记录!J:J,打包记录!G:G,G:G,打包记录!F:F,F:F),SUMIFS(J:J,D:D,D:D,G:G,G:G,F:F,F:F)-SUMIFS(打包记录!J:J,打包记录!D:D,D:D,打包记录!G:G,G:G,打包记录!F:F,F:F))</f>
        <v>199</v>
      </c>
      <c r="Q55">
        <v>4</v>
      </c>
    </row>
    <row r="56" spans="1:17" ht="14.25" customHeight="1" x14ac:dyDescent="0.15">
      <c r="A56">
        <v>52</v>
      </c>
      <c r="B56" s="21">
        <v>46245</v>
      </c>
      <c r="C56" t="s">
        <v>191</v>
      </c>
      <c r="D56" s="24" t="s">
        <v>182</v>
      </c>
      <c r="E56" t="s">
        <v>207</v>
      </c>
      <c r="F56">
        <v>39407267</v>
      </c>
      <c r="G56" t="s">
        <v>55</v>
      </c>
      <c r="H56" t="str">
        <f>_xlfn.XLOOKUP(G56,产品资料!C:C,产品资料!E:E)</f>
        <v>4609左内垫板(0.8MM)</v>
      </c>
      <c r="I56" s="23" t="str">
        <f>_xlfn.XLOOKUP(G56,产品资料!C:C,产品资料!F:F)</f>
        <v>0.8*152*662</v>
      </c>
      <c r="J56">
        <f>50*Q56-K56</f>
        <v>800</v>
      </c>
      <c r="L56" s="28">
        <f>_xlfn.XLOOKUP(G56,产品资料!C:C,产品资料!O:O)*J56</f>
        <v>492.85440000000006</v>
      </c>
      <c r="M56" s="31">
        <f>IFERROR(_xlfn.XLOOKUP(G56,产品资料!C:C,产品资料!L:L)*J56,0)</f>
        <v>1420.8</v>
      </c>
      <c r="N56">
        <f>IFERROR(_xlfn.XLOOKUP(G56,产品资料!C:C,产品资料!M:M)*J56,0)</f>
        <v>4800</v>
      </c>
      <c r="O56" s="51" t="s">
        <v>220</v>
      </c>
      <c r="P56" s="23">
        <f>IF(ISNUMBER(SEARCH("合包",R56)),SUMIFS(J:J,G:G,G:G,F:F,F:F)-SUMIFS(打包记录!J:J,打包记录!G:G,G:G,打包记录!F:F,F:F),SUMIFS(J:J,D:D,D:D,G:G,G:G,F:F,F:F)-SUMIFS(打包记录!J:J,打包记录!D:D,D:D,打包记录!G:G,G:G,打包记录!F:F,F:F))</f>
        <v>4</v>
      </c>
      <c r="Q56">
        <v>16</v>
      </c>
    </row>
    <row r="57" spans="1:17" ht="14.25" customHeight="1" x14ac:dyDescent="0.15">
      <c r="A57">
        <v>53</v>
      </c>
      <c r="B57" s="21">
        <v>46245</v>
      </c>
      <c r="C57" t="s">
        <v>191</v>
      </c>
      <c r="D57" s="24" t="s">
        <v>182</v>
      </c>
      <c r="E57" t="s">
        <v>207</v>
      </c>
      <c r="F57">
        <v>39407267</v>
      </c>
      <c r="G57" t="s">
        <v>95</v>
      </c>
      <c r="H57" t="str">
        <f>_xlfn.XLOOKUP(G57,产品资料!C:C,产品资料!E:E)</f>
        <v>4609顶长拉手（0.8MM ）</v>
      </c>
      <c r="I57" s="23" t="str">
        <f>_xlfn.XLOOKUP(G57,产品资料!C:C,产品资料!F:F)</f>
        <v>0.8*168*1076</v>
      </c>
      <c r="J57">
        <f>50*Q57-K57</f>
        <v>400</v>
      </c>
      <c r="L57" s="28">
        <f>_xlfn.XLOOKUP(G57,产品资料!C:C,产品资料!O:O)*J57</f>
        <v>452.58704000000006</v>
      </c>
      <c r="M57" s="31">
        <f>IFERROR(_xlfn.XLOOKUP(G57,产品资料!C:C,产品资料!L:L)*J57,0)</f>
        <v>992.80000000000007</v>
      </c>
      <c r="N57">
        <f>IFERROR(_xlfn.XLOOKUP(G57,产品资料!C:C,产品资料!M:M)*J57,0)</f>
        <v>0</v>
      </c>
      <c r="O57" s="51"/>
      <c r="P57" s="23">
        <f>IF(ISNUMBER(SEARCH("合包",R57)),SUMIFS(J:J,G:G,G:G,F:F,F:F)-SUMIFS(打包记录!J:J,打包记录!G:G,G:G,打包记录!F:F,F:F),SUMIFS(J:J,D:D,D:D,G:G,G:G,F:F,F:F)-SUMIFS(打包记录!J:J,打包记录!D:D,D:D,打包记录!G:G,G:G,打包记录!F:F,F:F))</f>
        <v>2</v>
      </c>
      <c r="Q57">
        <v>8</v>
      </c>
    </row>
    <row r="58" spans="1:17" ht="14.25" customHeight="1" x14ac:dyDescent="0.15">
      <c r="A58">
        <v>54</v>
      </c>
      <c r="B58" s="21">
        <v>46245</v>
      </c>
      <c r="C58" t="s">
        <v>191</v>
      </c>
      <c r="D58" s="24" t="s">
        <v>182</v>
      </c>
      <c r="E58" t="s">
        <v>207</v>
      </c>
      <c r="F58">
        <v>39407267</v>
      </c>
      <c r="G58" t="s">
        <v>115</v>
      </c>
      <c r="H58" t="str">
        <f>_xlfn.XLOOKUP(G58,产品资料!C:C,产品资料!E:E)</f>
        <v>4609中拉手(0.8MM）</v>
      </c>
      <c r="I58" s="23" t="str">
        <f>_xlfn.XLOOKUP(G58,产品资料!C:C,产品资料!F:F)</f>
        <v>0.8*155*515</v>
      </c>
      <c r="J58">
        <f>50*Q58-K58</f>
        <v>400</v>
      </c>
      <c r="L58" s="28">
        <f>_xlfn.XLOOKUP(G58,产品资料!C:C,产品资料!O:O)*J58</f>
        <v>199.65375999999998</v>
      </c>
      <c r="M58" s="31">
        <f>IFERROR(_xlfn.XLOOKUP(G58,产品资料!C:C,产品资料!L:L)*J58,0)</f>
        <v>533.6</v>
      </c>
      <c r="N58">
        <f>IFERROR(_xlfn.XLOOKUP(G58,产品资料!C:C,产品资料!M:M)*J58,0)</f>
        <v>0</v>
      </c>
      <c r="O58" s="51"/>
      <c r="P58" s="23">
        <f>IF(ISNUMBER(SEARCH("合包",R58)),SUMIFS(J:J,G:G,G:G,F:F,F:F)-SUMIFS(打包记录!J:J,打包记录!G:G,G:G,打包记录!F:F,F:F),SUMIFS(J:J,D:D,D:D,G:G,G:G,F:F,F:F)-SUMIFS(打包记录!J:J,打包记录!D:D,D:D,打包记录!G:G,G:G,打包记录!F:F,F:F))</f>
        <v>10</v>
      </c>
      <c r="Q58">
        <v>8</v>
      </c>
    </row>
    <row r="59" spans="1:17" ht="14.25" customHeight="1" x14ac:dyDescent="0.15">
      <c r="A59">
        <v>55</v>
      </c>
      <c r="B59" s="21">
        <v>46245</v>
      </c>
      <c r="C59" t="s">
        <v>191</v>
      </c>
      <c r="D59" s="24" t="s">
        <v>182</v>
      </c>
      <c r="E59" t="s">
        <v>207</v>
      </c>
      <c r="F59">
        <v>39407267</v>
      </c>
      <c r="G59" t="s">
        <v>120</v>
      </c>
      <c r="H59" t="str">
        <f>_xlfn.XLOOKUP(G59,产品资料!C:C,产品资料!E:E)</f>
        <v>4609大抽斗(0.8MM)</v>
      </c>
      <c r="I59" s="23" t="str">
        <f>_xlfn.XLOOKUP(G59,产品资料!C:C,产品资料!F:F)</f>
        <v>0.8*418*919</v>
      </c>
      <c r="J59">
        <f>50*Q59-K59</f>
        <v>1399</v>
      </c>
      <c r="K59">
        <v>1</v>
      </c>
      <c r="L59" s="28">
        <f>_xlfn.XLOOKUP(G59,产品资料!C:C,产品资料!O:O)*J59</f>
        <v>3359.8350423999996</v>
      </c>
      <c r="M59" s="31">
        <f>IFERROR(_xlfn.XLOOKUP(G59,产品资料!C:C,产品资料!L:L)*J59,0)</f>
        <v>3806.6790000000001</v>
      </c>
      <c r="N59">
        <f>IFERROR(_xlfn.XLOOKUP(G59,产品资料!C:C,产品资料!M:M)*J59,0)</f>
        <v>25182</v>
      </c>
      <c r="O59" s="51"/>
      <c r="P59" s="23">
        <f>IF(ISNUMBER(SEARCH("合包",R59)),SUMIFS(J:J,G:G,G:G,F:F,F:F)-SUMIFS(打包记录!J:J,打包记录!G:G,G:G,打包记录!F:F,F:F),SUMIFS(J:J,D:D,D:D,G:G,G:G,F:F,F:F)-SUMIFS(打包记录!J:J,打包记录!D:D,D:D,打包记录!G:G,G:G,打包记录!F:F,F:F))</f>
        <v>2</v>
      </c>
      <c r="Q59">
        <v>28</v>
      </c>
    </row>
    <row r="60" spans="1:17" ht="14.25" customHeight="1" x14ac:dyDescent="0.15">
      <c r="A60">
        <v>56</v>
      </c>
      <c r="B60" s="21">
        <v>46245</v>
      </c>
      <c r="C60" t="s">
        <v>191</v>
      </c>
      <c r="D60" s="24" t="s">
        <v>182</v>
      </c>
      <c r="E60" t="s">
        <v>207</v>
      </c>
      <c r="F60">
        <v>39407267</v>
      </c>
      <c r="G60" t="s">
        <v>25</v>
      </c>
      <c r="H60" t="str">
        <f>_xlfn.XLOOKUP(G60,产品资料!C:C,产品资料!E:E)</f>
        <v>4609底盖大加强板(0.8MM)</v>
      </c>
      <c r="I60" s="23" t="str">
        <f>_xlfn.XLOOKUP(G60,产品资料!C:C,产品资料!F:F)</f>
        <v>0.8*172*1162</v>
      </c>
      <c r="J60">
        <f>23*Q60-K60</f>
        <v>171</v>
      </c>
      <c r="K60">
        <v>13</v>
      </c>
      <c r="L60" s="28">
        <f>_xlfn.XLOOKUP(G60,产品资料!C:C,产品资料!O:O)*J60</f>
        <v>213.19739640000003</v>
      </c>
      <c r="M60" s="31">
        <f>IFERROR(_xlfn.XLOOKUP(G60,产品资料!C:C,产品资料!L:L)*J60,0)</f>
        <v>456.22800000000001</v>
      </c>
      <c r="N60">
        <f>IFERROR(_xlfn.XLOOKUP(G60,产品资料!C:C,产品资料!M:M)*J60,0)</f>
        <v>1368</v>
      </c>
      <c r="O60" s="53" t="s">
        <v>221</v>
      </c>
      <c r="P60" s="23">
        <f>IF(ISNUMBER(SEARCH("合包",R60)),SUMIFS(J:J,G:G,G:G,F:F,F:F)-SUMIFS(打包记录!J:J,打包记录!G:G,G:G,打包记录!F:F,F:F),SUMIFS(J:J,D:D,D:D,G:G,G:G,F:F,F:F)-SUMIFS(打包记录!J:J,打包记录!D:D,D:D,打包记录!G:G,G:G,打包记录!F:F,F:F))</f>
        <v>2</v>
      </c>
      <c r="Q60">
        <v>8</v>
      </c>
    </row>
    <row r="61" spans="1:17" ht="14.25" customHeight="1" x14ac:dyDescent="0.15">
      <c r="A61">
        <v>57</v>
      </c>
      <c r="B61" s="21">
        <v>46245</v>
      </c>
      <c r="C61" t="s">
        <v>191</v>
      </c>
      <c r="D61" s="24" t="s">
        <v>182</v>
      </c>
      <c r="E61" t="s">
        <v>207</v>
      </c>
      <c r="F61">
        <v>39407267</v>
      </c>
      <c r="G61" t="s">
        <v>50</v>
      </c>
      <c r="H61" t="str">
        <f>_xlfn.XLOOKUP(G61,产品资料!C:C,产品资料!E:E)</f>
        <v>4609后盖板(0.8MM)</v>
      </c>
      <c r="I61" s="23" t="str">
        <f>_xlfn.XLOOKUP(G61,产品资料!C:C,产品资料!F:F)</f>
        <v>0.8*770.5*1168.5</v>
      </c>
      <c r="J61">
        <f t="shared" ref="J61:J67" si="3">23*Q61-K61</f>
        <v>184</v>
      </c>
      <c r="L61" s="28">
        <f>_xlfn.XLOOKUP(G61,产品资料!C:C,产品资料!O:O)*J61</f>
        <v>1040.199104</v>
      </c>
      <c r="M61" s="31">
        <f>IFERROR(_xlfn.XLOOKUP(G61,产品资料!C:C,产品资料!L:L)*J61,0)</f>
        <v>713.55200000000002</v>
      </c>
      <c r="N61">
        <f>IFERROR(_xlfn.XLOOKUP(G61,产品资料!C:C,产品资料!M:M)*J61,0)</f>
        <v>1104</v>
      </c>
      <c r="O61" s="53"/>
      <c r="P61" s="23">
        <f>IF(ISNUMBER(SEARCH("合包",R61)),SUMIFS(J:J,G:G,G:G,F:F,F:F)-SUMIFS(打包记录!J:J,打包记录!G:G,G:G,打包记录!F:F,F:F),SUMIFS(J:J,D:D,D:D,G:G,G:G,F:F,F:F)-SUMIFS(打包记录!J:J,打包记录!D:D,D:D,打包记录!G:G,G:G,打包记录!F:F,F:F))</f>
        <v>27</v>
      </c>
      <c r="Q61">
        <v>8</v>
      </c>
    </row>
    <row r="62" spans="1:17" ht="14.25" customHeight="1" x14ac:dyDescent="0.15">
      <c r="A62">
        <v>58</v>
      </c>
      <c r="B62" s="21">
        <v>46245</v>
      </c>
      <c r="C62" t="s">
        <v>191</v>
      </c>
      <c r="D62" s="24" t="s">
        <v>182</v>
      </c>
      <c r="E62" t="s">
        <v>207</v>
      </c>
      <c r="F62">
        <v>39407267</v>
      </c>
      <c r="G62" t="s">
        <v>60</v>
      </c>
      <c r="H62" t="str">
        <f>_xlfn.XLOOKUP(G62,产品资料!C:C,产品资料!E:E)</f>
        <v>4609后内垫板大槽(0.8MM)</v>
      </c>
      <c r="I62" s="23" t="str">
        <f>_xlfn.XLOOKUP(G62,产品资料!C:C,产品资料!F:F)</f>
        <v>0.8*145*754.5</v>
      </c>
      <c r="J62">
        <f t="shared" si="3"/>
        <v>180</v>
      </c>
      <c r="K62">
        <v>4</v>
      </c>
      <c r="L62" s="28">
        <f>_xlfn.XLOOKUP(G62,产品资料!C:C,产品资料!O:O)*J62</f>
        <v>123.575328</v>
      </c>
      <c r="M62" s="31">
        <f>IFERROR(_xlfn.XLOOKUP(G62,产品资料!C:C,产品资料!L:L)*J62,0)</f>
        <v>323.82</v>
      </c>
      <c r="N62">
        <f>IFERROR(_xlfn.XLOOKUP(G62,产品资料!C:C,产品资料!M:M)*J62,0)</f>
        <v>1080</v>
      </c>
      <c r="O62" s="53"/>
      <c r="P62" s="23">
        <f>IF(ISNUMBER(SEARCH("合包",R62)),SUMIFS(J:J,G:G,G:G,F:F,F:F)-SUMIFS(打包记录!J:J,打包记录!G:G,G:G,打包记录!F:F,F:F),SUMIFS(J:J,D:D,D:D,G:G,G:G,F:F,F:F)-SUMIFS(打包记录!J:J,打包记录!D:D,D:D,打包记录!G:G,G:G,打包记录!F:F,F:F))</f>
        <v>4</v>
      </c>
      <c r="Q62">
        <v>8</v>
      </c>
    </row>
    <row r="63" spans="1:17" ht="14.25" customHeight="1" x14ac:dyDescent="0.15">
      <c r="A63">
        <v>59</v>
      </c>
      <c r="B63" s="21">
        <v>46245</v>
      </c>
      <c r="C63" t="s">
        <v>191</v>
      </c>
      <c r="D63" s="24" t="s">
        <v>182</v>
      </c>
      <c r="E63" t="s">
        <v>207</v>
      </c>
      <c r="F63">
        <v>39407267</v>
      </c>
      <c r="G63" t="s">
        <v>75</v>
      </c>
      <c r="H63" t="str">
        <f>_xlfn.XLOOKUP(G63,产品资料!C:C,产品资料!E:E)</f>
        <v>4609中隔内垫板大槽(0.8MM)</v>
      </c>
      <c r="I63" s="23" t="str">
        <f>_xlfn.XLOOKUP(G63,产品资料!C:C,产品资料!F:F)</f>
        <v>0.8*137*550</v>
      </c>
      <c r="J63">
        <f t="shared" si="3"/>
        <v>86</v>
      </c>
      <c r="K63">
        <v>6</v>
      </c>
      <c r="L63" s="28">
        <f>_xlfn.XLOOKUP(G63,产品资料!C:C,产品资料!O:O)*J63</f>
        <v>40.657222399999995</v>
      </c>
      <c r="M63" s="31">
        <f>IFERROR(_xlfn.XLOOKUP(G63,产品资料!C:C,产品资料!L:L)*J63,0)</f>
        <v>118.16400000000002</v>
      </c>
      <c r="N63">
        <f>IFERROR(_xlfn.XLOOKUP(G63,产品资料!C:C,产品资料!M:M)*J63,0)</f>
        <v>430</v>
      </c>
      <c r="O63" s="53"/>
      <c r="P63" s="23">
        <f>IF(ISNUMBER(SEARCH("合包",R63)),SUMIFS(J:J,G:G,G:G,F:F,F:F)-SUMIFS(打包记录!J:J,打包记录!G:G,G:G,打包记录!F:F,F:F),SUMIFS(J:J,D:D,D:D,G:G,G:G,F:F,F:F)-SUMIFS(打包记录!J:J,打包记录!D:D,D:D,打包记录!G:G,G:G,打包记录!F:F,F:F))</f>
        <v>2</v>
      </c>
      <c r="Q63">
        <v>4</v>
      </c>
    </row>
    <row r="64" spans="1:17" ht="14.25" customHeight="1" x14ac:dyDescent="0.15">
      <c r="A64">
        <v>60</v>
      </c>
      <c r="B64" s="21">
        <v>46245</v>
      </c>
      <c r="C64" t="s">
        <v>191</v>
      </c>
      <c r="D64" s="24" t="s">
        <v>182</v>
      </c>
      <c r="E64" t="s">
        <v>207</v>
      </c>
      <c r="F64">
        <v>39407267</v>
      </c>
      <c r="G64" t="s">
        <v>100</v>
      </c>
      <c r="H64" t="str">
        <f>_xlfn.XLOOKUP(G64,产品资料!C:C,产品资料!E:E)</f>
        <v>4609小抽斗(0.8MM)</v>
      </c>
      <c r="I64" s="23" t="str">
        <f>_xlfn.XLOOKUP(G64,产品资料!C:C,产品资料!F:F)</f>
        <v>0.8*418*603</v>
      </c>
      <c r="J64">
        <f t="shared" si="3"/>
        <v>90</v>
      </c>
      <c r="K64">
        <v>2</v>
      </c>
      <c r="L64" s="28">
        <f>_xlfn.XLOOKUP(G64,产品资料!C:C,产品资料!O:O)*J64</f>
        <v>141.53738399999997</v>
      </c>
      <c r="M64" s="31">
        <f>IFERROR(_xlfn.XLOOKUP(G64,产品资料!C:C,产品资料!L:L)*J64,0)</f>
        <v>188.01</v>
      </c>
      <c r="N64">
        <f>IFERROR(_xlfn.XLOOKUP(G64,产品资料!C:C,产品资料!M:M)*J64,0)</f>
        <v>1080</v>
      </c>
      <c r="O64" s="53"/>
      <c r="P64" s="23">
        <f>IF(ISNUMBER(SEARCH("合包",R64)),SUMIFS(J:J,G:G,G:G,F:F,F:F)-SUMIFS(打包记录!J:J,打包记录!G:G,G:G,打包记录!F:F,F:F),SUMIFS(J:J,D:D,D:D,G:G,G:G,F:F,F:F)-SUMIFS(打包记录!J:J,打包记录!D:D,D:D,打包记录!G:G,G:G,打包记录!F:F,F:F))</f>
        <v>3</v>
      </c>
      <c r="Q64">
        <v>4</v>
      </c>
    </row>
    <row r="65" spans="1:17" ht="14.25" customHeight="1" x14ac:dyDescent="0.15">
      <c r="A65">
        <v>61</v>
      </c>
      <c r="B65" s="21">
        <v>46245</v>
      </c>
      <c r="C65" t="s">
        <v>191</v>
      </c>
      <c r="D65" s="24" t="s">
        <v>182</v>
      </c>
      <c r="E65" t="s">
        <v>207</v>
      </c>
      <c r="F65">
        <v>39407267</v>
      </c>
      <c r="G65" t="s">
        <v>105</v>
      </c>
      <c r="H65" t="str">
        <f>_xlfn.XLOOKUP(G65,产品资料!C:C,产品资料!E:E)</f>
        <v>4609小拉手(0.8MM）</v>
      </c>
      <c r="I65" s="23" t="str">
        <f>_xlfn.XLOOKUP(G65,产品资料!C:C,产品资料!F:F)</f>
        <v>0.8*142*515</v>
      </c>
      <c r="J65">
        <f t="shared" si="3"/>
        <v>362</v>
      </c>
      <c r="K65">
        <v>6</v>
      </c>
      <c r="L65" s="28">
        <f>_xlfn.XLOOKUP(G65,产品资料!C:C,产品资料!O:O)*J65</f>
        <v>165.47787439999999</v>
      </c>
      <c r="M65" s="31">
        <f>IFERROR(_xlfn.XLOOKUP(G65,产品资料!C:C,产品资料!L:L)*J65,0)</f>
        <v>473.49600000000004</v>
      </c>
      <c r="N65">
        <f>IFERROR(_xlfn.XLOOKUP(G65,产品资料!C:C,产品资料!M:M)*J65,0)</f>
        <v>0</v>
      </c>
      <c r="O65" s="53"/>
      <c r="P65" s="23">
        <f>IF(ISNUMBER(SEARCH("合包",R65)),SUMIFS(J:J,G:G,G:G,F:F,F:F)-SUMIFS(打包记录!J:J,打包记录!G:G,G:G,打包记录!F:F,F:F),SUMIFS(J:J,D:D,D:D,G:G,G:G,F:F,F:F)-SUMIFS(打包记录!J:J,打包记录!D:D,D:D,打包记录!G:G,G:G,打包记录!F:F,F:F))</f>
        <v>4</v>
      </c>
      <c r="Q65">
        <v>16</v>
      </c>
    </row>
    <row r="66" spans="1:17" ht="14.25" customHeight="1" x14ac:dyDescent="0.15">
      <c r="A66">
        <v>62</v>
      </c>
      <c r="B66" s="21">
        <v>46245</v>
      </c>
      <c r="C66" t="s">
        <v>191</v>
      </c>
      <c r="D66" s="24" t="s">
        <v>182</v>
      </c>
      <c r="E66" t="s">
        <v>207</v>
      </c>
      <c r="F66">
        <v>39407267</v>
      </c>
      <c r="G66" t="s">
        <v>110</v>
      </c>
      <c r="H66" t="str">
        <f>_xlfn.XLOOKUP(G66,产品资料!C:C,产品资料!E:E)</f>
        <v>4609中抽斗(0.8MM)</v>
      </c>
      <c r="I66" s="23" t="str">
        <f>_xlfn.XLOOKUP(G66,产品资料!C:C,产品资料!F:F)</f>
        <v>0.8*418*639</v>
      </c>
      <c r="J66">
        <f t="shared" si="3"/>
        <v>90</v>
      </c>
      <c r="K66">
        <v>2</v>
      </c>
      <c r="L66" s="28">
        <f>_xlfn.XLOOKUP(G66,产品资料!C:C,产品资料!O:O)*J66</f>
        <v>150.043644</v>
      </c>
      <c r="M66" s="31">
        <f>IFERROR(_xlfn.XLOOKUP(G66,产品资料!C:C,产品资料!L:L)*J66,0)</f>
        <v>194.49</v>
      </c>
      <c r="N66">
        <f>IFERROR(_xlfn.XLOOKUP(G66,产品资料!C:C,产品资料!M:M)*J66,0)</f>
        <v>1080</v>
      </c>
      <c r="O66" s="53"/>
      <c r="P66" s="23">
        <f>IF(ISNUMBER(SEARCH("合包",R66)),SUMIFS(J:J,G:G,G:G,F:F,F:F)-SUMIFS(打包记录!J:J,打包记录!G:G,G:G,打包记录!F:F,F:F),SUMIFS(J:J,D:D,D:D,G:G,G:G,F:F,F:F)-SUMIFS(打包记录!J:J,打包记录!D:D,D:D,打包记录!G:G,G:G,打包记录!F:F,F:F))</f>
        <v>2</v>
      </c>
      <c r="Q66">
        <v>4</v>
      </c>
    </row>
    <row r="67" spans="1:17" ht="14.25" customHeight="1" x14ac:dyDescent="0.15">
      <c r="A67">
        <v>63</v>
      </c>
      <c r="B67" s="21">
        <v>46245</v>
      </c>
      <c r="C67" t="s">
        <v>191</v>
      </c>
      <c r="D67" s="24" t="s">
        <v>182</v>
      </c>
      <c r="E67" t="s">
        <v>207</v>
      </c>
      <c r="F67">
        <v>39407267</v>
      </c>
      <c r="G67" t="s">
        <v>115</v>
      </c>
      <c r="H67" t="str">
        <f>_xlfn.XLOOKUP(G67,产品资料!C:C,产品资料!E:E)</f>
        <v>4609中拉手(0.8MM）</v>
      </c>
      <c r="I67" s="23" t="str">
        <f>_xlfn.XLOOKUP(G67,产品资料!C:C,产品资料!F:F)</f>
        <v>0.8*155*515</v>
      </c>
      <c r="J67">
        <f t="shared" si="3"/>
        <v>92</v>
      </c>
      <c r="L67" s="28">
        <f>_xlfn.XLOOKUP(G67,产品资料!C:C,产品资料!O:O)*J67</f>
        <v>45.920364800000002</v>
      </c>
      <c r="M67" s="31">
        <f>IFERROR(_xlfn.XLOOKUP(G67,产品资料!C:C,产品资料!L:L)*J67,0)</f>
        <v>122.72800000000001</v>
      </c>
      <c r="N67">
        <f>IFERROR(_xlfn.XLOOKUP(G67,产品资料!C:C,产品资料!M:M)*J67,0)</f>
        <v>0</v>
      </c>
      <c r="O67" s="53"/>
      <c r="P67" s="23">
        <f>IF(ISNUMBER(SEARCH("合包",R67)),SUMIFS(J:J,G:G,G:G,F:F,F:F)-SUMIFS(打包记录!J:J,打包记录!G:G,G:G,打包记录!F:F,F:F),SUMIFS(J:J,D:D,D:D,G:G,G:G,F:F,F:F)-SUMIFS(打包记录!J:J,打包记录!D:D,D:D,打包记录!G:G,G:G,打包记录!F:F,F:F))</f>
        <v>10</v>
      </c>
      <c r="Q67">
        <v>4</v>
      </c>
    </row>
    <row r="68" spans="1:17" ht="14.25" customHeight="1" x14ac:dyDescent="0.15">
      <c r="A68">
        <v>64</v>
      </c>
      <c r="B68" s="21">
        <v>46245</v>
      </c>
      <c r="C68" t="s">
        <v>192</v>
      </c>
      <c r="D68" t="s">
        <v>179</v>
      </c>
      <c r="E68" t="s">
        <v>207</v>
      </c>
      <c r="F68">
        <v>39407267</v>
      </c>
      <c r="G68" t="s">
        <v>19</v>
      </c>
      <c r="H68" t="str">
        <f>_xlfn.XLOOKUP(G68,产品资料!C:C,产品资料!E:E)</f>
        <v xml:space="preserve">4609底盖小加强板（0.8MM ) </v>
      </c>
      <c r="I68" s="23" t="str">
        <f>_xlfn.XLOOKUP(G68,产品资料!C:C,产品资料!F:F)</f>
        <v>0.8*119*1162</v>
      </c>
      <c r="J68">
        <f>38*Q68-K68</f>
        <v>190</v>
      </c>
      <c r="L68" s="28">
        <f>_xlfn.XLOOKUP(G68,产品资料!C:C,产品资料!O:O)*J68</f>
        <v>163.37294399999999</v>
      </c>
      <c r="M68" s="31">
        <f>IFERROR(_xlfn.XLOOKUP(G68,产品资料!C:C,产品资料!L:L)*J68,0)</f>
        <v>486.78</v>
      </c>
      <c r="N68">
        <f>IFERROR(_xlfn.XLOOKUP(G68,产品资料!C:C,产品资料!M:M)*J68,0)</f>
        <v>1520</v>
      </c>
      <c r="O68" s="51" t="s">
        <v>222</v>
      </c>
      <c r="P68" s="23">
        <f>IF(ISNUMBER(SEARCH("合包",R68)),SUMIFS(J:J,G:G,G:G,F:F,F:F)-SUMIFS(打包记录!J:J,打包记录!G:G,G:G,打包记录!F:F,F:F),SUMIFS(J:J,D:D,D:D,G:G,G:G,F:F,F:F)-SUMIFS(打包记录!J:J,打包记录!D:D,D:D,打包记录!G:G,G:G,打包记录!F:F,F:F))</f>
        <v>571</v>
      </c>
      <c r="Q68">
        <v>5</v>
      </c>
    </row>
    <row r="69" spans="1:17" ht="14.25" customHeight="1" x14ac:dyDescent="0.15">
      <c r="A69">
        <v>65</v>
      </c>
      <c r="B69" s="21">
        <v>46245</v>
      </c>
      <c r="C69" t="s">
        <v>192</v>
      </c>
      <c r="D69" t="s">
        <v>179</v>
      </c>
      <c r="E69" t="s">
        <v>207</v>
      </c>
      <c r="F69">
        <v>39407267</v>
      </c>
      <c r="G69" t="s">
        <v>40</v>
      </c>
      <c r="H69" t="str">
        <f>_xlfn.XLOOKUP(G69,产品资料!C:C,产品资料!E:E)</f>
        <v>4609底盖（0.8MM)</v>
      </c>
      <c r="I69" s="23" t="str">
        <f>_xlfn.XLOOKUP(G69,产品资料!C:C,产品资料!F:F)</f>
        <v>0.8*552.5*1211</v>
      </c>
      <c r="J69">
        <f>38*Q69-K69</f>
        <v>301</v>
      </c>
      <c r="K69">
        <v>3</v>
      </c>
      <c r="L69" s="28">
        <f>_xlfn.XLOOKUP(G69,产品资料!C:C,产品资料!O:O)*J69</f>
        <v>1251.1007208000001</v>
      </c>
      <c r="M69" s="31">
        <f>IFERROR(_xlfn.XLOOKUP(G69,产品资料!C:C,产品资料!L:L)*J69,0)</f>
        <v>1077.8810000000001</v>
      </c>
      <c r="N69">
        <f>IFERROR(_xlfn.XLOOKUP(G69,产品资料!C:C,产品资料!M:M)*J69,0)</f>
        <v>4816</v>
      </c>
      <c r="O69" s="51"/>
      <c r="P69" s="23">
        <f>IF(ISNUMBER(SEARCH("合包",R69)),SUMIFS(J:J,G:G,G:G,F:F,F:F)-SUMIFS(打包记录!J:J,打包记录!G:G,G:G,打包记录!F:F,F:F),SUMIFS(J:J,D:D,D:D,G:G,G:G,F:F,F:F)-SUMIFS(打包记录!J:J,打包记录!D:D,D:D,打包记录!G:G,G:G,打包记录!F:F,F:F))</f>
        <v>152</v>
      </c>
      <c r="Q69">
        <v>8</v>
      </c>
    </row>
    <row r="70" spans="1:17" ht="14.25" customHeight="1" x14ac:dyDescent="0.15">
      <c r="A70">
        <v>66</v>
      </c>
      <c r="B70" s="21">
        <v>46245</v>
      </c>
      <c r="C70" t="s">
        <v>192</v>
      </c>
      <c r="D70" t="s">
        <v>179</v>
      </c>
      <c r="E70" t="s">
        <v>207</v>
      </c>
      <c r="F70">
        <v>39407267</v>
      </c>
      <c r="G70" t="s">
        <v>65</v>
      </c>
      <c r="H70" t="str">
        <f>_xlfn.XLOOKUP(G70,产品资料!C:C,产品资料!E:E)</f>
        <v>4609中隔板(0.8MM)</v>
      </c>
      <c r="I70" s="23" t="str">
        <f>_xlfn.XLOOKUP(G70,产品资料!C:C,产品资料!F:F)</f>
        <v>0.8*481.5*550</v>
      </c>
      <c r="J70">
        <f>38*Q70-K70</f>
        <v>152</v>
      </c>
      <c r="L70" s="28">
        <f>_xlfn.XLOOKUP(G70,产品资料!C:C,产品资料!O:O)*J70</f>
        <v>252.3570272</v>
      </c>
      <c r="M70" s="31">
        <f>IFERROR(_xlfn.XLOOKUP(G70,产品资料!C:C,产品资料!L:L)*J70,0)</f>
        <v>313.57600000000002</v>
      </c>
      <c r="N70">
        <f>IFERROR(_xlfn.XLOOKUP(G70,产品资料!C:C,产品资料!M:M)*J70,0)</f>
        <v>2280</v>
      </c>
      <c r="O70" s="51"/>
      <c r="P70" s="23">
        <f>IF(ISNUMBER(SEARCH("合包",R70)),SUMIFS(J:J,G:G,G:G,F:F,F:F)-SUMIFS(打包记录!J:J,打包记录!G:G,G:G,打包记录!F:F,F:F),SUMIFS(J:J,D:D,D:D,G:G,G:G,F:F,F:F)-SUMIFS(打包记录!J:J,打包记录!D:D,D:D,打包记录!G:G,G:G,打包记录!F:F,F:F))</f>
        <v>199</v>
      </c>
      <c r="Q70">
        <v>4</v>
      </c>
    </row>
    <row r="71" spans="1:17" ht="14.25" customHeight="1" x14ac:dyDescent="0.15">
      <c r="A71">
        <v>67</v>
      </c>
      <c r="B71" s="21">
        <v>46246</v>
      </c>
      <c r="C71" t="s">
        <v>191</v>
      </c>
      <c r="D71" s="24" t="s">
        <v>182</v>
      </c>
      <c r="E71" t="s">
        <v>207</v>
      </c>
      <c r="F71">
        <v>39407267</v>
      </c>
      <c r="G71" t="s">
        <v>25</v>
      </c>
      <c r="H71" t="str">
        <f>_xlfn.XLOOKUP(G71,产品资料!C:C,产品资料!E:E)</f>
        <v>4609底盖大加强板(0.8MM)</v>
      </c>
      <c r="I71" s="23" t="str">
        <f>_xlfn.XLOOKUP(G71,产品资料!C:C,产品资料!F:F)</f>
        <v>0.8*172*1162</v>
      </c>
      <c r="J71">
        <f>103*Q71-K71</f>
        <v>824</v>
      </c>
      <c r="L71" s="28">
        <f>_xlfn.XLOOKUP(G71,产品资料!C:C,产品资料!O:O)*J71</f>
        <v>1027.3371616000002</v>
      </c>
      <c r="M71" s="31">
        <f>IFERROR(_xlfn.XLOOKUP(G71,产品资料!C:C,产品资料!L:L)*J71,0)</f>
        <v>2198.4320000000002</v>
      </c>
      <c r="N71">
        <f>IFERROR(_xlfn.XLOOKUP(G71,产品资料!C:C,产品资料!M:M)*J71,0)</f>
        <v>6592</v>
      </c>
      <c r="O71" s="53" t="s">
        <v>223</v>
      </c>
      <c r="P71" s="23">
        <f>IF(ISNUMBER(SEARCH("合包",R71)),SUMIFS(J:J,G:G,G:G,F:F,F:F)-SUMIFS(打包记录!J:J,打包记录!G:G,G:G,打包记录!F:F,F:F),SUMIFS(J:J,D:D,D:D,G:G,G:G,F:F,F:F)-SUMIFS(打包记录!J:J,打包记录!D:D,D:D,打包记录!G:G,G:G,打包记录!F:F,F:F))</f>
        <v>2</v>
      </c>
      <c r="Q71">
        <v>8</v>
      </c>
    </row>
    <row r="72" spans="1:17" ht="14.25" customHeight="1" x14ac:dyDescent="0.15">
      <c r="A72">
        <v>68</v>
      </c>
      <c r="B72" s="21">
        <v>46246</v>
      </c>
      <c r="C72" t="s">
        <v>191</v>
      </c>
      <c r="D72" s="24" t="s">
        <v>182</v>
      </c>
      <c r="E72" t="s">
        <v>207</v>
      </c>
      <c r="F72">
        <v>39407267</v>
      </c>
      <c r="G72" t="s">
        <v>50</v>
      </c>
      <c r="H72" t="str">
        <f>_xlfn.XLOOKUP(G72,产品资料!C:C,产品资料!E:E)</f>
        <v>4609后盖板(0.8MM)</v>
      </c>
      <c r="I72" s="23" t="str">
        <f>_xlfn.XLOOKUP(G72,产品资料!C:C,产品资料!F:F)</f>
        <v>0.8*770.5*1168.5</v>
      </c>
      <c r="J72">
        <f t="shared" ref="J72:J78" si="4">103*Q72-K72</f>
        <v>824</v>
      </c>
      <c r="L72" s="28">
        <f>_xlfn.XLOOKUP(G72,产品资料!C:C,产品资料!O:O)*J72</f>
        <v>4658.2829439999996</v>
      </c>
      <c r="M72" s="31">
        <f>IFERROR(_xlfn.XLOOKUP(G72,产品资料!C:C,产品资料!L:L)*J72,0)</f>
        <v>3195.4720000000002</v>
      </c>
      <c r="N72">
        <f>IFERROR(_xlfn.XLOOKUP(G72,产品资料!C:C,产品资料!M:M)*J72,0)</f>
        <v>4944</v>
      </c>
      <c r="O72" s="53"/>
      <c r="P72" s="23">
        <f>IF(ISNUMBER(SEARCH("合包",R72)),SUMIFS(J:J,G:G,G:G,F:F,F:F)-SUMIFS(打包记录!J:J,打包记录!G:G,G:G,打包记录!F:F,F:F),SUMIFS(J:J,D:D,D:D,G:G,G:G,F:F,F:F)-SUMIFS(打包记录!J:J,打包记录!D:D,D:D,打包记录!G:G,G:G,打包记录!F:F,F:F))</f>
        <v>27</v>
      </c>
      <c r="Q72">
        <v>8</v>
      </c>
    </row>
    <row r="73" spans="1:17" ht="14.25" customHeight="1" x14ac:dyDescent="0.15">
      <c r="A73">
        <v>69</v>
      </c>
      <c r="B73" s="21">
        <v>46246</v>
      </c>
      <c r="C73" t="s">
        <v>191</v>
      </c>
      <c r="D73" s="24" t="s">
        <v>182</v>
      </c>
      <c r="E73" t="s">
        <v>207</v>
      </c>
      <c r="F73">
        <v>39407267</v>
      </c>
      <c r="G73" t="s">
        <v>60</v>
      </c>
      <c r="H73" t="str">
        <f>_xlfn.XLOOKUP(G73,产品资料!C:C,产品资料!E:E)</f>
        <v>4609后内垫板大槽(0.8MM)</v>
      </c>
      <c r="I73" s="23" t="str">
        <f>_xlfn.XLOOKUP(G73,产品资料!C:C,产品资料!F:F)</f>
        <v>0.8*145*754.5</v>
      </c>
      <c r="J73">
        <f t="shared" si="4"/>
        <v>820</v>
      </c>
      <c r="K73">
        <v>4</v>
      </c>
      <c r="L73" s="28">
        <f>_xlfn.XLOOKUP(G73,产品资料!C:C,产品资料!O:O)*J73</f>
        <v>562.95427199999995</v>
      </c>
      <c r="M73" s="31">
        <f>IFERROR(_xlfn.XLOOKUP(G73,产品资料!C:C,产品资料!L:L)*J73,0)</f>
        <v>1475.1799999999998</v>
      </c>
      <c r="N73">
        <f>IFERROR(_xlfn.XLOOKUP(G73,产品资料!C:C,产品资料!M:M)*J73,0)</f>
        <v>4920</v>
      </c>
      <c r="O73" s="53"/>
      <c r="P73" s="23">
        <f>IF(ISNUMBER(SEARCH("合包",R73)),SUMIFS(J:J,G:G,G:G,F:F,F:F)-SUMIFS(打包记录!J:J,打包记录!G:G,G:G,打包记录!F:F,F:F),SUMIFS(J:J,D:D,D:D,G:G,G:G,F:F,F:F)-SUMIFS(打包记录!J:J,打包记录!D:D,D:D,打包记录!G:G,G:G,打包记录!F:F,F:F))</f>
        <v>4</v>
      </c>
      <c r="Q73">
        <v>8</v>
      </c>
    </row>
    <row r="74" spans="1:17" ht="14.25" customHeight="1" x14ac:dyDescent="0.15">
      <c r="A74">
        <v>70</v>
      </c>
      <c r="B74" s="21">
        <v>46246</v>
      </c>
      <c r="C74" t="s">
        <v>191</v>
      </c>
      <c r="D74" s="24" t="s">
        <v>182</v>
      </c>
      <c r="E74" t="s">
        <v>207</v>
      </c>
      <c r="F74">
        <v>39407267</v>
      </c>
      <c r="G74" t="s">
        <v>75</v>
      </c>
      <c r="H74" t="str">
        <f>_xlfn.XLOOKUP(G74,产品资料!C:C,产品资料!E:E)</f>
        <v>4609中隔内垫板大槽(0.8MM)</v>
      </c>
      <c r="I74" s="23" t="str">
        <f>_xlfn.XLOOKUP(G74,产品资料!C:C,产品资料!F:F)</f>
        <v>0.8*137*550</v>
      </c>
      <c r="J74">
        <f t="shared" si="4"/>
        <v>411</v>
      </c>
      <c r="K74">
        <v>1</v>
      </c>
      <c r="L74" s="28">
        <f>_xlfn.XLOOKUP(G74,产品资料!C:C,产品资料!O:O)*J74</f>
        <v>194.30370239999999</v>
      </c>
      <c r="M74" s="31">
        <f>IFERROR(_xlfn.XLOOKUP(G74,产品资料!C:C,产品资料!L:L)*J74,0)</f>
        <v>564.71400000000006</v>
      </c>
      <c r="N74">
        <f>IFERROR(_xlfn.XLOOKUP(G74,产品资料!C:C,产品资料!M:M)*J74,0)</f>
        <v>2055</v>
      </c>
      <c r="O74" s="53"/>
      <c r="P74" s="23">
        <f>IF(ISNUMBER(SEARCH("合包",R74)),SUMIFS(J:J,G:G,G:G,F:F,F:F)-SUMIFS(打包记录!J:J,打包记录!G:G,G:G,打包记录!F:F,F:F),SUMIFS(J:J,D:D,D:D,G:G,G:G,F:F,F:F)-SUMIFS(打包记录!J:J,打包记录!D:D,D:D,打包记录!G:G,G:G,打包记录!F:F,F:F))</f>
        <v>2</v>
      </c>
      <c r="Q74">
        <v>4</v>
      </c>
    </row>
    <row r="75" spans="1:17" ht="14.25" customHeight="1" x14ac:dyDescent="0.15">
      <c r="A75">
        <v>71</v>
      </c>
      <c r="B75" s="21">
        <v>46246</v>
      </c>
      <c r="C75" t="s">
        <v>191</v>
      </c>
      <c r="D75" s="24" t="s">
        <v>182</v>
      </c>
      <c r="E75" t="s">
        <v>207</v>
      </c>
      <c r="F75">
        <v>39407267</v>
      </c>
      <c r="G75" t="s">
        <v>100</v>
      </c>
      <c r="H75" t="str">
        <f>_xlfn.XLOOKUP(G75,产品资料!C:C,产品资料!E:E)</f>
        <v>4609小抽斗(0.8MM)</v>
      </c>
      <c r="I75" s="23" t="str">
        <f>_xlfn.XLOOKUP(G75,产品资料!C:C,产品资料!F:F)</f>
        <v>0.8*418*603</v>
      </c>
      <c r="J75">
        <f t="shared" si="4"/>
        <v>412</v>
      </c>
      <c r="L75" s="28">
        <f>_xlfn.XLOOKUP(G75,产品资料!C:C,产品资料!O:O)*J75</f>
        <v>647.92669119999994</v>
      </c>
      <c r="M75" s="31">
        <f>IFERROR(_xlfn.XLOOKUP(G75,产品资料!C:C,产品资料!L:L)*J75,0)</f>
        <v>860.66800000000001</v>
      </c>
      <c r="N75">
        <f>IFERROR(_xlfn.XLOOKUP(G75,产品资料!C:C,产品资料!M:M)*J75,0)</f>
        <v>4944</v>
      </c>
      <c r="O75" s="53"/>
      <c r="P75" s="23">
        <f>IF(ISNUMBER(SEARCH("合包",R75)),SUMIFS(J:J,G:G,G:G,F:F,F:F)-SUMIFS(打包记录!J:J,打包记录!G:G,G:G,打包记录!F:F,F:F),SUMIFS(J:J,D:D,D:D,G:G,G:G,F:F,F:F)-SUMIFS(打包记录!J:J,打包记录!D:D,D:D,打包记录!G:G,G:G,打包记录!F:F,F:F))</f>
        <v>3</v>
      </c>
      <c r="Q75">
        <v>4</v>
      </c>
    </row>
    <row r="76" spans="1:17" ht="14.25" customHeight="1" x14ac:dyDescent="0.15">
      <c r="A76">
        <v>72</v>
      </c>
      <c r="B76" s="21">
        <v>46246</v>
      </c>
      <c r="C76" t="s">
        <v>191</v>
      </c>
      <c r="D76" s="24" t="s">
        <v>182</v>
      </c>
      <c r="E76" t="s">
        <v>207</v>
      </c>
      <c r="F76">
        <v>39407267</v>
      </c>
      <c r="G76" t="s">
        <v>105</v>
      </c>
      <c r="H76" t="str">
        <f>_xlfn.XLOOKUP(G76,产品资料!C:C,产品资料!E:E)</f>
        <v>4609小拉手(0.8MM）</v>
      </c>
      <c r="I76" s="23" t="str">
        <f>_xlfn.XLOOKUP(G76,产品资料!C:C,产品资料!F:F)</f>
        <v>0.8*142*515</v>
      </c>
      <c r="J76">
        <f t="shared" si="4"/>
        <v>1647</v>
      </c>
      <c r="K76">
        <v>1</v>
      </c>
      <c r="L76" s="28">
        <f>_xlfn.XLOOKUP(G76,产品资料!C:C,产品资料!O:O)*J76</f>
        <v>752.87861639999994</v>
      </c>
      <c r="M76" s="31">
        <f>IFERROR(_xlfn.XLOOKUP(G76,产品资料!C:C,产品资料!L:L)*J76,0)</f>
        <v>2154.2760000000003</v>
      </c>
      <c r="N76">
        <f>IFERROR(_xlfn.XLOOKUP(G76,产品资料!C:C,产品资料!M:M)*J76,0)</f>
        <v>0</v>
      </c>
      <c r="O76" s="53"/>
      <c r="P76" s="23">
        <f>IF(ISNUMBER(SEARCH("合包",R76)),SUMIFS(J:J,G:G,G:G,F:F,F:F)-SUMIFS(打包记录!J:J,打包记录!G:G,G:G,打包记录!F:F,F:F),SUMIFS(J:J,D:D,D:D,G:G,G:G,F:F,F:F)-SUMIFS(打包记录!J:J,打包记录!D:D,D:D,打包记录!G:G,G:G,打包记录!F:F,F:F))</f>
        <v>4</v>
      </c>
      <c r="Q76">
        <v>16</v>
      </c>
    </row>
    <row r="77" spans="1:17" ht="14.25" customHeight="1" x14ac:dyDescent="0.15">
      <c r="A77">
        <v>73</v>
      </c>
      <c r="B77" s="21">
        <v>46246</v>
      </c>
      <c r="C77" t="s">
        <v>191</v>
      </c>
      <c r="D77" s="24" t="s">
        <v>182</v>
      </c>
      <c r="E77" t="s">
        <v>207</v>
      </c>
      <c r="F77">
        <v>39407267</v>
      </c>
      <c r="G77" t="s">
        <v>110</v>
      </c>
      <c r="H77" t="str">
        <f>_xlfn.XLOOKUP(G77,产品资料!C:C,产品资料!E:E)</f>
        <v>4609中抽斗(0.8MM)</v>
      </c>
      <c r="I77" s="23" t="str">
        <f>_xlfn.XLOOKUP(G77,产品资料!C:C,产品资料!F:F)</f>
        <v>0.8*418*639</v>
      </c>
      <c r="J77">
        <f t="shared" si="4"/>
        <v>412</v>
      </c>
      <c r="L77" s="28">
        <f>_xlfn.XLOOKUP(G77,产品资料!C:C,产品资料!O:O)*J77</f>
        <v>686.86645920000001</v>
      </c>
      <c r="M77" s="31">
        <f>IFERROR(_xlfn.XLOOKUP(G77,产品资料!C:C,产品资料!L:L)*J77,0)</f>
        <v>890.33199999999999</v>
      </c>
      <c r="N77">
        <f>IFERROR(_xlfn.XLOOKUP(G77,产品资料!C:C,产品资料!M:M)*J77,0)</f>
        <v>4944</v>
      </c>
      <c r="O77" s="53"/>
      <c r="P77" s="23">
        <f>IF(ISNUMBER(SEARCH("合包",R77)),SUMIFS(J:J,G:G,G:G,F:F,F:F)-SUMIFS(打包记录!J:J,打包记录!G:G,G:G,打包记录!F:F,F:F),SUMIFS(J:J,D:D,D:D,G:G,G:G,F:F,F:F)-SUMIFS(打包记录!J:J,打包记录!D:D,D:D,打包记录!G:G,G:G,打包记录!F:F,F:F))</f>
        <v>2</v>
      </c>
      <c r="Q77">
        <v>4</v>
      </c>
    </row>
    <row r="78" spans="1:17" ht="14.25" customHeight="1" x14ac:dyDescent="0.15">
      <c r="A78">
        <v>74</v>
      </c>
      <c r="B78" s="21">
        <v>46246</v>
      </c>
      <c r="C78" t="s">
        <v>191</v>
      </c>
      <c r="D78" s="24" t="s">
        <v>182</v>
      </c>
      <c r="E78" t="s">
        <v>207</v>
      </c>
      <c r="F78">
        <v>39407267</v>
      </c>
      <c r="G78" t="s">
        <v>115</v>
      </c>
      <c r="H78" t="str">
        <f>_xlfn.XLOOKUP(G78,产品资料!C:C,产品资料!E:E)</f>
        <v>4609中拉手(0.8MM）</v>
      </c>
      <c r="I78" s="23" t="str">
        <f>_xlfn.XLOOKUP(G78,产品资料!C:C,产品资料!F:F)</f>
        <v>0.8*155*515</v>
      </c>
      <c r="J78">
        <f t="shared" si="4"/>
        <v>412</v>
      </c>
      <c r="L78" s="28">
        <f>_xlfn.XLOOKUP(G78,产品资料!C:C,产品资料!O:O)*J78</f>
        <v>205.64337279999998</v>
      </c>
      <c r="M78" s="31">
        <f>IFERROR(_xlfn.XLOOKUP(G78,产品资料!C:C,产品资料!L:L)*J78,0)</f>
        <v>549.60800000000006</v>
      </c>
      <c r="N78">
        <f>IFERROR(_xlfn.XLOOKUP(G78,产品资料!C:C,产品资料!M:M)*J78,0)</f>
        <v>0</v>
      </c>
      <c r="O78" s="53"/>
      <c r="P78" s="23">
        <f>IF(ISNUMBER(SEARCH("合包",R78)),SUMIFS(J:J,G:G,G:G,F:F,F:F)-SUMIFS(打包记录!J:J,打包记录!G:G,G:G,打包记录!F:F,F:F),SUMIFS(J:J,D:D,D:D,G:G,G:G,F:F,F:F)-SUMIFS(打包记录!J:J,打包记录!D:D,D:D,打包记录!G:G,G:G,打包记录!F:F,F:F))</f>
        <v>10</v>
      </c>
      <c r="Q78">
        <v>4</v>
      </c>
    </row>
    <row r="79" spans="1:17" ht="14.25" customHeight="1" x14ac:dyDescent="0.15">
      <c r="A79">
        <v>75</v>
      </c>
      <c r="B79" s="21">
        <v>46246</v>
      </c>
      <c r="C79" t="s">
        <v>192</v>
      </c>
      <c r="D79" t="s">
        <v>179</v>
      </c>
      <c r="E79" t="s">
        <v>207</v>
      </c>
      <c r="F79">
        <v>39407267</v>
      </c>
      <c r="G79" t="s">
        <v>19</v>
      </c>
      <c r="H79" t="str">
        <f>_xlfn.XLOOKUP(G79,产品资料!C:C,产品资料!E:E)</f>
        <v xml:space="preserve">4609底盖小加强板（0.8MM ) </v>
      </c>
      <c r="I79" s="23" t="str">
        <f>_xlfn.XLOOKUP(G79,产品资料!C:C,产品资料!F:F)</f>
        <v>0.8*119*1162</v>
      </c>
      <c r="J79">
        <f>19*Q79-K79</f>
        <v>94</v>
      </c>
      <c r="K79">
        <v>1</v>
      </c>
      <c r="L79" s="28">
        <f>_xlfn.XLOOKUP(G79,产品资料!C:C,产品资料!O:O)*J79</f>
        <v>80.826614399999983</v>
      </c>
      <c r="M79" s="31">
        <f>IFERROR(_xlfn.XLOOKUP(G79,产品资料!C:C,产品资料!L:L)*J79,0)</f>
        <v>240.82799999999997</v>
      </c>
      <c r="N79">
        <f>IFERROR(_xlfn.XLOOKUP(G79,产品资料!C:C,产品资料!M:M)*J79,0)</f>
        <v>752</v>
      </c>
      <c r="O79" s="51" t="s">
        <v>224</v>
      </c>
      <c r="P79" s="23">
        <f>IF(ISNUMBER(SEARCH("合包",R79)),SUMIFS(J:J,G:G,G:G,F:F,F:F)-SUMIFS(打包记录!J:J,打包记录!G:G,G:G,打包记录!F:F,F:F),SUMIFS(J:J,D:D,D:D,G:G,G:G,F:F,F:F)-SUMIFS(打包记录!J:J,打包记录!D:D,D:D,打包记录!G:G,G:G,打包记录!F:F,F:F))</f>
        <v>571</v>
      </c>
      <c r="Q79">
        <v>5</v>
      </c>
    </row>
    <row r="80" spans="1:17" ht="14.25" customHeight="1" x14ac:dyDescent="0.15">
      <c r="A80">
        <v>76</v>
      </c>
      <c r="B80" s="21">
        <v>46246</v>
      </c>
      <c r="C80" t="s">
        <v>192</v>
      </c>
      <c r="D80" t="s">
        <v>179</v>
      </c>
      <c r="E80" t="s">
        <v>207</v>
      </c>
      <c r="F80">
        <v>39407267</v>
      </c>
      <c r="G80" t="s">
        <v>40</v>
      </c>
      <c r="H80" t="str">
        <f>_xlfn.XLOOKUP(G80,产品资料!C:C,产品资料!E:E)</f>
        <v>4609底盖（0.8MM)</v>
      </c>
      <c r="I80" s="23" t="str">
        <f>_xlfn.XLOOKUP(G80,产品资料!C:C,产品资料!F:F)</f>
        <v>0.8*552.5*1211</v>
      </c>
      <c r="J80">
        <f>19*Q80-K80</f>
        <v>149</v>
      </c>
      <c r="K80">
        <v>3</v>
      </c>
      <c r="L80" s="28">
        <f>_xlfn.XLOOKUP(G80,产品资料!C:C,产品资料!O:O)*J80</f>
        <v>619.31563920000008</v>
      </c>
      <c r="M80" s="31">
        <f>IFERROR(_xlfn.XLOOKUP(G80,产品资料!C:C,产品资料!L:L)*J80,0)</f>
        <v>533.56899999999996</v>
      </c>
      <c r="N80">
        <f>IFERROR(_xlfn.XLOOKUP(G80,产品资料!C:C,产品资料!M:M)*J80,0)</f>
        <v>2384</v>
      </c>
      <c r="O80" s="51"/>
      <c r="P80" s="23">
        <f>IF(ISNUMBER(SEARCH("合包",R80)),SUMIFS(J:J,G:G,G:G,F:F,F:F)-SUMIFS(打包记录!J:J,打包记录!G:G,G:G,打包记录!F:F,F:F),SUMIFS(J:J,D:D,D:D,G:G,G:G,F:F,F:F)-SUMIFS(打包记录!J:J,打包记录!D:D,D:D,打包记录!G:G,G:G,打包记录!F:F,F:F))</f>
        <v>152</v>
      </c>
      <c r="Q80">
        <v>8</v>
      </c>
    </row>
    <row r="81" spans="1:17" ht="14.25" customHeight="1" x14ac:dyDescent="0.15">
      <c r="A81">
        <v>77</v>
      </c>
      <c r="B81" s="21">
        <v>46246</v>
      </c>
      <c r="C81" t="s">
        <v>192</v>
      </c>
      <c r="D81" t="s">
        <v>179</v>
      </c>
      <c r="E81" t="s">
        <v>207</v>
      </c>
      <c r="F81">
        <v>39407267</v>
      </c>
      <c r="G81" t="s">
        <v>65</v>
      </c>
      <c r="H81" t="str">
        <f>_xlfn.XLOOKUP(G81,产品资料!C:C,产品资料!E:E)</f>
        <v>4609中隔板(0.8MM)</v>
      </c>
      <c r="I81" s="23" t="str">
        <f>_xlfn.XLOOKUP(G81,产品资料!C:C,产品资料!F:F)</f>
        <v>0.8*481.5*550</v>
      </c>
      <c r="J81">
        <f>19*Q81-K81</f>
        <v>76</v>
      </c>
      <c r="L81" s="28">
        <f>_xlfn.XLOOKUP(G81,产品资料!C:C,产品资料!O:O)*J81</f>
        <v>126.1785136</v>
      </c>
      <c r="M81" s="31">
        <f>IFERROR(_xlfn.XLOOKUP(G81,产品资料!C:C,产品资料!L:L)*J81,0)</f>
        <v>156.78800000000001</v>
      </c>
      <c r="N81">
        <f>IFERROR(_xlfn.XLOOKUP(G81,产品资料!C:C,产品资料!M:M)*J81,0)</f>
        <v>1140</v>
      </c>
      <c r="O81" s="51"/>
      <c r="P81" s="23">
        <f>IF(ISNUMBER(SEARCH("合包",R81)),SUMIFS(J:J,G:G,G:G,F:F,F:F)-SUMIFS(打包记录!J:J,打包记录!G:G,G:G,打包记录!F:F,F:F),SUMIFS(J:J,D:D,D:D,G:G,G:G,F:F,F:F)-SUMIFS(打包记录!J:J,打包记录!D:D,D:D,打包记录!G:G,G:G,打包记录!F:F,F:F))</f>
        <v>199</v>
      </c>
      <c r="Q81">
        <v>4</v>
      </c>
    </row>
    <row r="82" spans="1:17" ht="14.25" customHeight="1" x14ac:dyDescent="0.15">
      <c r="A82">
        <v>78</v>
      </c>
      <c r="B82" s="21">
        <v>46247</v>
      </c>
      <c r="C82" t="s">
        <v>191</v>
      </c>
      <c r="D82" s="24" t="s">
        <v>182</v>
      </c>
      <c r="E82" t="s">
        <v>225</v>
      </c>
      <c r="F82">
        <v>39407267</v>
      </c>
      <c r="G82" t="s">
        <v>25</v>
      </c>
      <c r="H82" t="str">
        <f>_xlfn.XLOOKUP(G82,产品资料!C:C,产品资料!E:E)</f>
        <v>4609底盖大加强板(0.8MM)</v>
      </c>
      <c r="I82" s="23" t="str">
        <f>_xlfn.XLOOKUP(G82,产品资料!C:C,产品资料!F:F)</f>
        <v>0.8*172*1162</v>
      </c>
      <c r="J82">
        <f>77*Q82-K82</f>
        <v>596</v>
      </c>
      <c r="K82">
        <v>20</v>
      </c>
      <c r="L82" s="28">
        <f>_xlfn.XLOOKUP(G82,产品资料!C:C,产品资料!O:O)*J82</f>
        <v>743.07396640000002</v>
      </c>
      <c r="M82" s="31">
        <f>IFERROR(_xlfn.XLOOKUP(G82,产品资料!C:C,产品资料!L:L)*J82,0)</f>
        <v>1590.1280000000002</v>
      </c>
      <c r="N82">
        <f>IFERROR(_xlfn.XLOOKUP(G82,产品资料!C:C,产品资料!M:M)*J82,0)</f>
        <v>4768</v>
      </c>
      <c r="O82" s="53" t="s">
        <v>226</v>
      </c>
      <c r="P82" s="23">
        <f>IF(ISNUMBER(SEARCH("合包",R82)),SUMIFS(J:J,G:G,G:G,F:F,F:F)-SUMIFS(打包记录!J:J,打包记录!G:G,G:G,打包记录!F:F,F:F),SUMIFS(J:J,D:D,D:D,G:G,G:G,F:F,F:F)-SUMIFS(打包记录!J:J,打包记录!D:D,D:D,打包记录!G:G,G:G,打包记录!F:F,F:F))</f>
        <v>2</v>
      </c>
      <c r="Q82">
        <v>8</v>
      </c>
    </row>
    <row r="83" spans="1:17" ht="14.25" customHeight="1" x14ac:dyDescent="0.15">
      <c r="A83">
        <v>79</v>
      </c>
      <c r="B83" s="21">
        <v>46247</v>
      </c>
      <c r="C83" t="s">
        <v>191</v>
      </c>
      <c r="D83" s="24" t="s">
        <v>182</v>
      </c>
      <c r="E83" t="s">
        <v>225</v>
      </c>
      <c r="F83">
        <v>39407267</v>
      </c>
      <c r="G83" t="s">
        <v>50</v>
      </c>
      <c r="H83" t="str">
        <f>_xlfn.XLOOKUP(G83,产品资料!C:C,产品资料!E:E)</f>
        <v>4609后盖板(0.8MM)</v>
      </c>
      <c r="I83" s="23" t="str">
        <f>_xlfn.XLOOKUP(G83,产品资料!C:C,产品资料!F:F)</f>
        <v>0.8*770.5*1168.5</v>
      </c>
      <c r="J83">
        <f t="shared" ref="J83:J89" si="5">77*Q83-K83</f>
        <v>605</v>
      </c>
      <c r="K83">
        <v>11</v>
      </c>
      <c r="L83" s="28">
        <f>_xlfn.XLOOKUP(G83,产品资料!C:C,产品资料!O:O)*J83</f>
        <v>3420.2198800000001</v>
      </c>
      <c r="M83" s="31">
        <f>IFERROR(_xlfn.XLOOKUP(G83,产品资料!C:C,产品资料!L:L)*J83,0)</f>
        <v>2346.19</v>
      </c>
      <c r="N83">
        <f>IFERROR(_xlfn.XLOOKUP(G83,产品资料!C:C,产品资料!M:M)*J83,0)</f>
        <v>3630</v>
      </c>
      <c r="O83" s="53"/>
      <c r="P83" s="23">
        <f>IF(ISNUMBER(SEARCH("合包",R83)),SUMIFS(J:J,G:G,G:G,F:F,F:F)-SUMIFS(打包记录!J:J,打包记录!G:G,G:G,打包记录!F:F,F:F),SUMIFS(J:J,D:D,D:D,G:G,G:G,F:F,F:F)-SUMIFS(打包记录!J:J,打包记录!D:D,D:D,打包记录!G:G,G:G,打包记录!F:F,F:F))</f>
        <v>27</v>
      </c>
      <c r="Q83">
        <v>8</v>
      </c>
    </row>
    <row r="84" spans="1:17" ht="14.25" customHeight="1" x14ac:dyDescent="0.15">
      <c r="A84">
        <v>80</v>
      </c>
      <c r="B84" s="21">
        <v>46247</v>
      </c>
      <c r="C84" t="s">
        <v>191</v>
      </c>
      <c r="D84" s="24" t="s">
        <v>182</v>
      </c>
      <c r="E84" t="s">
        <v>225</v>
      </c>
      <c r="F84">
        <v>39407267</v>
      </c>
      <c r="G84" t="s">
        <v>60</v>
      </c>
      <c r="H84" t="str">
        <f>_xlfn.XLOOKUP(G84,产品资料!C:C,产品资料!E:E)</f>
        <v>4609后内垫板大槽(0.8MM)</v>
      </c>
      <c r="I84" s="23" t="str">
        <f>_xlfn.XLOOKUP(G84,产品资料!C:C,产品资料!F:F)</f>
        <v>0.8*145*754.5</v>
      </c>
      <c r="J84">
        <f t="shared" si="5"/>
        <v>591</v>
      </c>
      <c r="K84">
        <v>25</v>
      </c>
      <c r="L84" s="28">
        <f>_xlfn.XLOOKUP(G84,产品资料!C:C,产品资料!O:O)*J84</f>
        <v>405.73899359999996</v>
      </c>
      <c r="M84" s="31">
        <f>IFERROR(_xlfn.XLOOKUP(G84,产品资料!C:C,产品资料!L:L)*J84,0)</f>
        <v>1063.2090000000001</v>
      </c>
      <c r="N84">
        <f>IFERROR(_xlfn.XLOOKUP(G84,产品资料!C:C,产品资料!M:M)*J84,0)</f>
        <v>3546</v>
      </c>
      <c r="O84" s="53"/>
      <c r="P84" s="23">
        <f>IF(ISNUMBER(SEARCH("合包",R84)),SUMIFS(J:J,G:G,G:G,F:F,F:F)-SUMIFS(打包记录!J:J,打包记录!G:G,G:G,打包记录!F:F,F:F),SUMIFS(J:J,D:D,D:D,G:G,G:G,F:F,F:F)-SUMIFS(打包记录!J:J,打包记录!D:D,D:D,打包记录!G:G,G:G,打包记录!F:F,F:F))</f>
        <v>4</v>
      </c>
      <c r="Q84">
        <v>8</v>
      </c>
    </row>
    <row r="85" spans="1:17" ht="14.25" customHeight="1" x14ac:dyDescent="0.15">
      <c r="A85">
        <v>81</v>
      </c>
      <c r="B85" s="21">
        <v>46247</v>
      </c>
      <c r="C85" t="s">
        <v>191</v>
      </c>
      <c r="D85" s="24" t="s">
        <v>182</v>
      </c>
      <c r="E85" t="s">
        <v>225</v>
      </c>
      <c r="F85">
        <v>39407267</v>
      </c>
      <c r="G85" t="s">
        <v>75</v>
      </c>
      <c r="H85" t="str">
        <f>_xlfn.XLOOKUP(G85,产品资料!C:C,产品资料!E:E)</f>
        <v>4609中隔内垫板大槽(0.8MM)</v>
      </c>
      <c r="I85" s="23" t="str">
        <f>_xlfn.XLOOKUP(G85,产品资料!C:C,产品资料!F:F)</f>
        <v>0.8*137*550</v>
      </c>
      <c r="J85">
        <f t="shared" si="5"/>
        <v>295</v>
      </c>
      <c r="K85">
        <v>13</v>
      </c>
      <c r="L85" s="28">
        <f>_xlfn.XLOOKUP(G85,产品资料!C:C,产品资料!O:O)*J85</f>
        <v>139.463728</v>
      </c>
      <c r="M85" s="31">
        <f>IFERROR(_xlfn.XLOOKUP(G85,产品资料!C:C,产品资料!L:L)*J85,0)</f>
        <v>405.33000000000004</v>
      </c>
      <c r="N85">
        <f>IFERROR(_xlfn.XLOOKUP(G85,产品资料!C:C,产品资料!M:M)*J85,0)</f>
        <v>1475</v>
      </c>
      <c r="O85" s="53"/>
      <c r="P85" s="23">
        <f>IF(ISNUMBER(SEARCH("合包",R85)),SUMIFS(J:J,G:G,G:G,F:F,F:F)-SUMIFS(打包记录!J:J,打包记录!G:G,G:G,打包记录!F:F,F:F),SUMIFS(J:J,D:D,D:D,G:G,G:G,F:F,F:F)-SUMIFS(打包记录!J:J,打包记录!D:D,D:D,打包记录!G:G,G:G,打包记录!F:F,F:F))</f>
        <v>2</v>
      </c>
      <c r="Q85">
        <v>4</v>
      </c>
    </row>
    <row r="86" spans="1:17" ht="14.25" customHeight="1" x14ac:dyDescent="0.15">
      <c r="A86">
        <v>82</v>
      </c>
      <c r="B86" s="21">
        <v>46247</v>
      </c>
      <c r="C86" t="s">
        <v>191</v>
      </c>
      <c r="D86" s="24" t="s">
        <v>182</v>
      </c>
      <c r="E86" t="s">
        <v>225</v>
      </c>
      <c r="F86">
        <v>39407267</v>
      </c>
      <c r="G86" t="s">
        <v>100</v>
      </c>
      <c r="H86" t="str">
        <f>_xlfn.XLOOKUP(G86,产品资料!C:C,产品资料!E:E)</f>
        <v>4609小抽斗(0.8MM)</v>
      </c>
      <c r="I86" s="23" t="str">
        <f>_xlfn.XLOOKUP(G86,产品资料!C:C,产品资料!F:F)</f>
        <v>0.8*418*603</v>
      </c>
      <c r="J86">
        <f t="shared" si="5"/>
        <v>295</v>
      </c>
      <c r="K86">
        <v>13</v>
      </c>
      <c r="L86" s="28">
        <f>_xlfn.XLOOKUP(G86,产品资料!C:C,产品资料!O:O)*J86</f>
        <v>463.92809199999994</v>
      </c>
      <c r="M86" s="31">
        <f>IFERROR(_xlfn.XLOOKUP(G86,产品资料!C:C,产品资料!L:L)*J86,0)</f>
        <v>616.255</v>
      </c>
      <c r="N86">
        <f>IFERROR(_xlfn.XLOOKUP(G86,产品资料!C:C,产品资料!M:M)*J86,0)</f>
        <v>3540</v>
      </c>
      <c r="O86" s="53"/>
      <c r="P86" s="23">
        <f>IF(ISNUMBER(SEARCH("合包",R86)),SUMIFS(J:J,G:G,G:G,F:F,F:F)-SUMIFS(打包记录!J:J,打包记录!G:G,G:G,打包记录!F:F,F:F),SUMIFS(J:J,D:D,D:D,G:G,G:G,F:F,F:F)-SUMIFS(打包记录!J:J,打包记录!D:D,D:D,打包记录!G:G,G:G,打包记录!F:F,F:F))</f>
        <v>3</v>
      </c>
      <c r="Q86">
        <v>4</v>
      </c>
    </row>
    <row r="87" spans="1:17" ht="14.25" customHeight="1" x14ac:dyDescent="0.15">
      <c r="A87">
        <v>83</v>
      </c>
      <c r="B87" s="21">
        <v>46247</v>
      </c>
      <c r="C87" t="s">
        <v>191</v>
      </c>
      <c r="D87" s="24" t="s">
        <v>182</v>
      </c>
      <c r="E87" t="s">
        <v>225</v>
      </c>
      <c r="F87">
        <v>39407267</v>
      </c>
      <c r="G87" t="s">
        <v>105</v>
      </c>
      <c r="H87" t="str">
        <f>_xlfn.XLOOKUP(G87,产品资料!C:C,产品资料!E:E)</f>
        <v>4609小拉手(0.8MM）</v>
      </c>
      <c r="I87" s="23" t="str">
        <f>_xlfn.XLOOKUP(G87,产品资料!C:C,产品资料!F:F)</f>
        <v>0.8*142*515</v>
      </c>
      <c r="J87">
        <f t="shared" si="5"/>
        <v>1207</v>
      </c>
      <c r="K87">
        <v>25</v>
      </c>
      <c r="L87" s="28">
        <f>_xlfn.XLOOKUP(G87,产品资料!C:C,产品资料!O:O)*J87</f>
        <v>551.74528839999994</v>
      </c>
      <c r="M87" s="31">
        <f>IFERROR(_xlfn.XLOOKUP(G87,产品资料!C:C,产品资料!L:L)*J87,0)</f>
        <v>1578.7560000000001</v>
      </c>
      <c r="N87">
        <f>IFERROR(_xlfn.XLOOKUP(G87,产品资料!C:C,产品资料!M:M)*J87,0)</f>
        <v>0</v>
      </c>
      <c r="O87" s="53"/>
      <c r="P87" s="23">
        <f>IF(ISNUMBER(SEARCH("合包",R87)),SUMIFS(J:J,G:G,G:G,F:F,F:F)-SUMIFS(打包记录!J:J,打包记录!G:G,G:G,打包记录!F:F,F:F),SUMIFS(J:J,D:D,D:D,G:G,G:G,F:F,F:F)-SUMIFS(打包记录!J:J,打包记录!D:D,D:D,打包记录!G:G,G:G,打包记录!F:F,F:F))</f>
        <v>4</v>
      </c>
      <c r="Q87">
        <v>16</v>
      </c>
    </row>
    <row r="88" spans="1:17" ht="14.25" customHeight="1" x14ac:dyDescent="0.15">
      <c r="A88">
        <v>84</v>
      </c>
      <c r="B88" s="21">
        <v>46247</v>
      </c>
      <c r="C88" t="s">
        <v>191</v>
      </c>
      <c r="D88" s="24" t="s">
        <v>182</v>
      </c>
      <c r="E88" t="s">
        <v>225</v>
      </c>
      <c r="F88">
        <v>39407267</v>
      </c>
      <c r="G88" t="s">
        <v>110</v>
      </c>
      <c r="H88" t="str">
        <f>_xlfn.XLOOKUP(G88,产品资料!C:C,产品资料!E:E)</f>
        <v>4609中抽斗(0.8MM)</v>
      </c>
      <c r="I88" s="23" t="str">
        <f>_xlfn.XLOOKUP(G88,产品资料!C:C,产品资料!F:F)</f>
        <v>0.8*418*639</v>
      </c>
      <c r="J88">
        <f t="shared" si="5"/>
        <v>304</v>
      </c>
      <c r="K88">
        <v>4</v>
      </c>
      <c r="L88" s="28">
        <f>_xlfn.XLOOKUP(G88,产品资料!C:C,产品资料!O:O)*J88</f>
        <v>506.81408640000001</v>
      </c>
      <c r="M88" s="31">
        <f>IFERROR(_xlfn.XLOOKUP(G88,产品资料!C:C,产品资料!L:L)*J88,0)</f>
        <v>656.94399999999996</v>
      </c>
      <c r="N88">
        <f>IFERROR(_xlfn.XLOOKUP(G88,产品资料!C:C,产品资料!M:M)*J88,0)</f>
        <v>3648</v>
      </c>
      <c r="O88" s="53"/>
      <c r="P88" s="23">
        <f>IF(ISNUMBER(SEARCH("合包",R88)),SUMIFS(J:J,G:G,G:G,F:F,F:F)-SUMIFS(打包记录!J:J,打包记录!G:G,G:G,打包记录!F:F,F:F),SUMIFS(J:J,D:D,D:D,G:G,G:G,F:F,F:F)-SUMIFS(打包记录!J:J,打包记录!D:D,D:D,打包记录!G:G,G:G,打包记录!F:F,F:F))</f>
        <v>2</v>
      </c>
      <c r="Q88">
        <v>4</v>
      </c>
    </row>
    <row r="89" spans="1:17" ht="14.25" customHeight="1" x14ac:dyDescent="0.15">
      <c r="A89">
        <v>85</v>
      </c>
      <c r="B89" s="21">
        <v>46247</v>
      </c>
      <c r="C89" t="s">
        <v>191</v>
      </c>
      <c r="D89" s="24" t="s">
        <v>182</v>
      </c>
      <c r="E89" t="s">
        <v>225</v>
      </c>
      <c r="F89">
        <v>39407267</v>
      </c>
      <c r="G89" t="s">
        <v>115</v>
      </c>
      <c r="H89" t="str">
        <f>_xlfn.XLOOKUP(G89,产品资料!C:C,产品资料!E:E)</f>
        <v>4609中拉手(0.8MM）</v>
      </c>
      <c r="I89" s="23" t="str">
        <f>_xlfn.XLOOKUP(G89,产品资料!C:C,产品资料!F:F)</f>
        <v>0.8*155*515</v>
      </c>
      <c r="J89">
        <f t="shared" si="5"/>
        <v>299</v>
      </c>
      <c r="K89">
        <v>9</v>
      </c>
      <c r="L89" s="28">
        <f>_xlfn.XLOOKUP(G89,产品资料!C:C,产品资料!O:O)*J89</f>
        <v>149.24118559999999</v>
      </c>
      <c r="M89" s="31">
        <f>IFERROR(_xlfn.XLOOKUP(G89,产品资料!C:C,产品资料!L:L)*J89,0)</f>
        <v>398.86600000000004</v>
      </c>
      <c r="N89">
        <f>IFERROR(_xlfn.XLOOKUP(G89,产品资料!C:C,产品资料!M:M)*J89,0)</f>
        <v>0</v>
      </c>
      <c r="O89" s="53"/>
      <c r="P89" s="23">
        <f>IF(ISNUMBER(SEARCH("合包",R89)),SUMIFS(J:J,G:G,G:G,F:F,F:F)-SUMIFS(打包记录!J:J,打包记录!G:G,G:G,打包记录!F:F,F:F),SUMIFS(J:J,D:D,D:D,G:G,G:G,F:F,F:F)-SUMIFS(打包记录!J:J,打包记录!D:D,D:D,打包记录!G:G,G:G,打包记录!F:F,F:F))</f>
        <v>10</v>
      </c>
      <c r="Q89">
        <v>4</v>
      </c>
    </row>
    <row r="90" spans="1:17" ht="14.25" customHeight="1" x14ac:dyDescent="0.15">
      <c r="A90">
        <v>86</v>
      </c>
      <c r="B90" s="21">
        <v>46248</v>
      </c>
      <c r="C90" t="s">
        <v>191</v>
      </c>
      <c r="D90" s="24" t="s">
        <v>182</v>
      </c>
      <c r="E90" t="s">
        <v>225</v>
      </c>
      <c r="F90">
        <v>39407267</v>
      </c>
      <c r="G90" t="s">
        <v>25</v>
      </c>
      <c r="H90" t="str">
        <f>_xlfn.XLOOKUP(G90,产品资料!C:C,产品资料!E:E)</f>
        <v>4609底盖大加强板(0.8MM)</v>
      </c>
      <c r="I90" s="23" t="str">
        <f>_xlfn.XLOOKUP(G90,产品资料!C:C,产品资料!F:F)</f>
        <v>0.8*172*1162</v>
      </c>
      <c r="J90">
        <f>86*Q90-K90</f>
        <v>669</v>
      </c>
      <c r="K90">
        <v>19</v>
      </c>
      <c r="L90" s="28">
        <f>_xlfn.XLOOKUP(G90,产品资料!C:C,产品资料!O:O)*J90</f>
        <v>834.08805960000007</v>
      </c>
      <c r="M90" s="31">
        <f>IFERROR(_xlfn.XLOOKUP(G90,产品资料!C:C,产品资料!L:L)*J90,0)</f>
        <v>1784.8920000000001</v>
      </c>
      <c r="N90">
        <f>IFERROR(_xlfn.XLOOKUP(G90,产品资料!C:C,产品资料!M:M)*J90,0)</f>
        <v>5352</v>
      </c>
      <c r="O90" s="53" t="s">
        <v>227</v>
      </c>
      <c r="P90" s="23">
        <f>IF(ISNUMBER(SEARCH("合包",R90)),SUMIFS(J:J,G:G,G:G,F:F,F:F)-SUMIFS(打包记录!J:J,打包记录!G:G,G:G,打包记录!F:F,F:F),SUMIFS(J:J,D:D,D:D,G:G,G:G,F:F,F:F)-SUMIFS(打包记录!J:J,打包记录!D:D,D:D,打包记录!G:G,G:G,打包记录!F:F,F:F))</f>
        <v>2</v>
      </c>
      <c r="Q90">
        <v>8</v>
      </c>
    </row>
    <row r="91" spans="1:17" ht="14.25" customHeight="1" x14ac:dyDescent="0.15">
      <c r="A91">
        <v>87</v>
      </c>
      <c r="B91" s="21">
        <v>46248</v>
      </c>
      <c r="C91" t="s">
        <v>191</v>
      </c>
      <c r="D91" s="24" t="s">
        <v>182</v>
      </c>
      <c r="E91" t="s">
        <v>225</v>
      </c>
      <c r="F91">
        <v>39407267</v>
      </c>
      <c r="G91" t="s">
        <v>50</v>
      </c>
      <c r="H91" t="str">
        <f>_xlfn.XLOOKUP(G91,产品资料!C:C,产品资料!E:E)</f>
        <v>4609后盖板(0.8MM)</v>
      </c>
      <c r="I91" s="23" t="str">
        <f>_xlfn.XLOOKUP(G91,产品资料!C:C,产品资料!F:F)</f>
        <v>0.8*770.5*1168.5</v>
      </c>
      <c r="J91">
        <f t="shared" ref="J91:J97" si="6">86*Q91-K91</f>
        <v>681</v>
      </c>
      <c r="K91">
        <v>7</v>
      </c>
      <c r="L91" s="28">
        <f>_xlfn.XLOOKUP(G91,产品资料!C:C,产品资料!O:O)*J91</f>
        <v>3849.8673359999998</v>
      </c>
      <c r="M91" s="31">
        <f>IFERROR(_xlfn.XLOOKUP(G91,产品资料!C:C,产品资料!L:L)*J91,0)</f>
        <v>2640.9180000000001</v>
      </c>
      <c r="N91">
        <f>IFERROR(_xlfn.XLOOKUP(G91,产品资料!C:C,产品资料!M:M)*J91,0)</f>
        <v>4086</v>
      </c>
      <c r="O91" s="53"/>
      <c r="P91" s="23">
        <f>IF(ISNUMBER(SEARCH("合包",R91)),SUMIFS(J:J,G:G,G:G,F:F,F:F)-SUMIFS(打包记录!J:J,打包记录!G:G,G:G,打包记录!F:F,F:F),SUMIFS(J:J,D:D,D:D,G:G,G:G,F:F,F:F)-SUMIFS(打包记录!J:J,打包记录!D:D,D:D,打包记录!G:G,G:G,打包记录!F:F,F:F))</f>
        <v>27</v>
      </c>
      <c r="Q91">
        <v>8</v>
      </c>
    </row>
    <row r="92" spans="1:17" ht="14.25" customHeight="1" x14ac:dyDescent="0.15">
      <c r="A92">
        <v>88</v>
      </c>
      <c r="B92" s="21">
        <v>46248</v>
      </c>
      <c r="C92" t="s">
        <v>191</v>
      </c>
      <c r="D92" s="24" t="s">
        <v>182</v>
      </c>
      <c r="E92" t="s">
        <v>225</v>
      </c>
      <c r="F92">
        <v>39407267</v>
      </c>
      <c r="G92" t="s">
        <v>60</v>
      </c>
      <c r="H92" t="str">
        <f>_xlfn.XLOOKUP(G92,产品资料!C:C,产品资料!E:E)</f>
        <v>4609后内垫板大槽(0.8MM)</v>
      </c>
      <c r="I92" s="23" t="str">
        <f>_xlfn.XLOOKUP(G92,产品资料!C:C,产品资料!F:F)</f>
        <v>0.8*145*754.5</v>
      </c>
      <c r="J92">
        <f t="shared" si="6"/>
        <v>684</v>
      </c>
      <c r="K92">
        <v>4</v>
      </c>
      <c r="L92" s="28">
        <f>_xlfn.XLOOKUP(G92,产品资料!C:C,产品资料!O:O)*J92</f>
        <v>469.58624639999999</v>
      </c>
      <c r="M92" s="31">
        <f>IFERROR(_xlfn.XLOOKUP(G92,产品资料!C:C,产品资料!L:L)*J92,0)</f>
        <v>1230.5159999999998</v>
      </c>
      <c r="N92">
        <f>IFERROR(_xlfn.XLOOKUP(G92,产品资料!C:C,产品资料!M:M)*J92,0)</f>
        <v>4104</v>
      </c>
      <c r="O92" s="53"/>
      <c r="P92" s="23">
        <f>IF(ISNUMBER(SEARCH("合包",R92)),SUMIFS(J:J,G:G,G:G,F:F,F:F)-SUMIFS(打包记录!J:J,打包记录!G:G,G:G,打包记录!F:F,F:F),SUMIFS(J:J,D:D,D:D,G:G,G:G,F:F,F:F)-SUMIFS(打包记录!J:J,打包记录!D:D,D:D,打包记录!G:G,G:G,打包记录!F:F,F:F))</f>
        <v>4</v>
      </c>
      <c r="Q92">
        <v>8</v>
      </c>
    </row>
    <row r="93" spans="1:17" ht="14.25" customHeight="1" x14ac:dyDescent="0.15">
      <c r="A93">
        <v>89</v>
      </c>
      <c r="B93" s="21">
        <v>46248</v>
      </c>
      <c r="C93" t="s">
        <v>191</v>
      </c>
      <c r="D93" s="24" t="s">
        <v>182</v>
      </c>
      <c r="E93" t="s">
        <v>225</v>
      </c>
      <c r="F93">
        <v>39407267</v>
      </c>
      <c r="G93" t="s">
        <v>75</v>
      </c>
      <c r="H93" t="str">
        <f>_xlfn.XLOOKUP(G93,产品资料!C:C,产品资料!E:E)</f>
        <v>4609中隔内垫板大槽(0.8MM)</v>
      </c>
      <c r="I93" s="23" t="str">
        <f>_xlfn.XLOOKUP(G93,产品资料!C:C,产品资料!F:F)</f>
        <v>0.8*137*550</v>
      </c>
      <c r="J93">
        <f t="shared" si="6"/>
        <v>338</v>
      </c>
      <c r="K93">
        <v>6</v>
      </c>
      <c r="L93" s="28">
        <f>_xlfn.XLOOKUP(G93,产品资料!C:C,产品资料!O:O)*J93</f>
        <v>159.79233919999999</v>
      </c>
      <c r="M93" s="31">
        <f>IFERROR(_xlfn.XLOOKUP(G93,产品资料!C:C,产品资料!L:L)*J93,0)</f>
        <v>464.41200000000003</v>
      </c>
      <c r="N93">
        <f>IFERROR(_xlfn.XLOOKUP(G93,产品资料!C:C,产品资料!M:M)*J93,0)</f>
        <v>1690</v>
      </c>
      <c r="O93" s="53"/>
      <c r="P93" s="23">
        <f>IF(ISNUMBER(SEARCH("合包",R93)),SUMIFS(J:J,G:G,G:G,F:F,F:F)-SUMIFS(打包记录!J:J,打包记录!G:G,G:G,打包记录!F:F,F:F),SUMIFS(J:J,D:D,D:D,G:G,G:G,F:F,F:F)-SUMIFS(打包记录!J:J,打包记录!D:D,D:D,打包记录!G:G,G:G,打包记录!F:F,F:F))</f>
        <v>2</v>
      </c>
      <c r="Q93">
        <v>4</v>
      </c>
    </row>
    <row r="94" spans="1:17" ht="14.25" customHeight="1" x14ac:dyDescent="0.15">
      <c r="A94">
        <v>90</v>
      </c>
      <c r="B94" s="21">
        <v>46248</v>
      </c>
      <c r="C94" t="s">
        <v>191</v>
      </c>
      <c r="D94" s="24" t="s">
        <v>182</v>
      </c>
      <c r="E94" t="s">
        <v>225</v>
      </c>
      <c r="F94">
        <v>39407267</v>
      </c>
      <c r="G94" t="s">
        <v>100</v>
      </c>
      <c r="H94" t="str">
        <f>_xlfn.XLOOKUP(G94,产品资料!C:C,产品资料!E:E)</f>
        <v>4609小抽斗(0.8MM)</v>
      </c>
      <c r="I94" s="23" t="str">
        <f>_xlfn.XLOOKUP(G94,产品资料!C:C,产品资料!F:F)</f>
        <v>0.8*418*603</v>
      </c>
      <c r="J94">
        <f t="shared" si="6"/>
        <v>336</v>
      </c>
      <c r="K94">
        <v>8</v>
      </c>
      <c r="L94" s="28">
        <f>_xlfn.XLOOKUP(G94,产品资料!C:C,产品资料!O:O)*J94</f>
        <v>528.40623359999995</v>
      </c>
      <c r="M94" s="31">
        <f>IFERROR(_xlfn.XLOOKUP(G94,产品资料!C:C,产品资料!L:L)*J94,0)</f>
        <v>701.904</v>
      </c>
      <c r="N94">
        <f>IFERROR(_xlfn.XLOOKUP(G94,产品资料!C:C,产品资料!M:M)*J94,0)</f>
        <v>4032</v>
      </c>
      <c r="O94" s="53"/>
      <c r="P94" s="23">
        <f>IF(ISNUMBER(SEARCH("合包",R94)),SUMIFS(J:J,G:G,G:G,F:F,F:F)-SUMIFS(打包记录!J:J,打包记录!G:G,G:G,打包记录!F:F,F:F),SUMIFS(J:J,D:D,D:D,G:G,G:G,F:F,F:F)-SUMIFS(打包记录!J:J,打包记录!D:D,D:D,打包记录!G:G,G:G,打包记录!F:F,F:F))</f>
        <v>3</v>
      </c>
      <c r="Q94">
        <v>4</v>
      </c>
    </row>
    <row r="95" spans="1:17" ht="14.25" customHeight="1" x14ac:dyDescent="0.15">
      <c r="A95">
        <v>91</v>
      </c>
      <c r="B95" s="21">
        <v>46248</v>
      </c>
      <c r="C95" t="s">
        <v>191</v>
      </c>
      <c r="D95" s="24" t="s">
        <v>182</v>
      </c>
      <c r="E95" t="s">
        <v>225</v>
      </c>
      <c r="F95">
        <v>39407267</v>
      </c>
      <c r="G95" t="s">
        <v>105</v>
      </c>
      <c r="H95" t="str">
        <f>_xlfn.XLOOKUP(G95,产品资料!C:C,产品资料!E:E)</f>
        <v>4609小拉手(0.8MM）</v>
      </c>
      <c r="I95" s="23" t="str">
        <f>_xlfn.XLOOKUP(G95,产品资料!C:C,产品资料!F:F)</f>
        <v>0.8*142*515</v>
      </c>
      <c r="J95">
        <f t="shared" si="6"/>
        <v>1370</v>
      </c>
      <c r="K95">
        <v>6</v>
      </c>
      <c r="L95" s="28">
        <f>_xlfn.XLOOKUP(G95,产品资料!C:C,产品资料!O:O)*J95</f>
        <v>626.25604399999997</v>
      </c>
      <c r="M95" s="31">
        <f>IFERROR(_xlfn.XLOOKUP(G95,产品资料!C:C,产品资料!L:L)*J95,0)</f>
        <v>1791.96</v>
      </c>
      <c r="N95">
        <f>IFERROR(_xlfn.XLOOKUP(G95,产品资料!C:C,产品资料!M:M)*J95,0)</f>
        <v>0</v>
      </c>
      <c r="O95" s="53"/>
      <c r="P95" s="23">
        <f>IF(ISNUMBER(SEARCH("合包",R95)),SUMIFS(J:J,G:G,G:G,F:F,F:F)-SUMIFS(打包记录!J:J,打包记录!G:G,G:G,打包记录!F:F,F:F),SUMIFS(J:J,D:D,D:D,G:G,G:G,F:F,F:F)-SUMIFS(打包记录!J:J,打包记录!D:D,D:D,打包记录!G:G,G:G,打包记录!F:F,F:F))</f>
        <v>4</v>
      </c>
      <c r="Q95">
        <v>16</v>
      </c>
    </row>
    <row r="96" spans="1:17" ht="14.25" customHeight="1" x14ac:dyDescent="0.15">
      <c r="A96">
        <v>92</v>
      </c>
      <c r="B96" s="21">
        <v>46248</v>
      </c>
      <c r="C96" t="s">
        <v>191</v>
      </c>
      <c r="D96" s="24" t="s">
        <v>182</v>
      </c>
      <c r="E96" t="s">
        <v>225</v>
      </c>
      <c r="F96">
        <v>39407267</v>
      </c>
      <c r="G96" t="s">
        <v>110</v>
      </c>
      <c r="H96" t="str">
        <f>_xlfn.XLOOKUP(G96,产品资料!C:C,产品资料!E:E)</f>
        <v>4609中抽斗(0.8MM)</v>
      </c>
      <c r="I96" s="23" t="str">
        <f>_xlfn.XLOOKUP(G96,产品资料!C:C,产品资料!F:F)</f>
        <v>0.8*418*639</v>
      </c>
      <c r="J96">
        <f t="shared" si="6"/>
        <v>336</v>
      </c>
      <c r="K96">
        <v>8</v>
      </c>
      <c r="L96" s="28">
        <f>_xlfn.XLOOKUP(G96,产品资料!C:C,产品资料!O:O)*J96</f>
        <v>560.16293759999996</v>
      </c>
      <c r="M96" s="31">
        <f>IFERROR(_xlfn.XLOOKUP(G96,产品资料!C:C,产品资料!L:L)*J96,0)</f>
        <v>726.096</v>
      </c>
      <c r="N96">
        <f>IFERROR(_xlfn.XLOOKUP(G96,产品资料!C:C,产品资料!M:M)*J96,0)</f>
        <v>4032</v>
      </c>
      <c r="O96" s="53"/>
      <c r="P96" s="23">
        <f>IF(ISNUMBER(SEARCH("合包",R96)),SUMIFS(J:J,G:G,G:G,F:F,F:F)-SUMIFS(打包记录!J:J,打包记录!G:G,G:G,打包记录!F:F,F:F),SUMIFS(J:J,D:D,D:D,G:G,G:G,F:F,F:F)-SUMIFS(打包记录!J:J,打包记录!D:D,D:D,打包记录!G:G,G:G,打包记录!F:F,F:F))</f>
        <v>2</v>
      </c>
      <c r="Q96">
        <v>4</v>
      </c>
    </row>
    <row r="97" spans="1:17" ht="14.25" customHeight="1" x14ac:dyDescent="0.15">
      <c r="A97">
        <v>93</v>
      </c>
      <c r="B97" s="21">
        <v>46248</v>
      </c>
      <c r="C97" t="s">
        <v>191</v>
      </c>
      <c r="D97" s="24" t="s">
        <v>182</v>
      </c>
      <c r="E97" t="s">
        <v>225</v>
      </c>
      <c r="F97">
        <v>39407267</v>
      </c>
      <c r="G97" t="s">
        <v>115</v>
      </c>
      <c r="H97" t="str">
        <f>_xlfn.XLOOKUP(G97,产品资料!C:C,产品资料!E:E)</f>
        <v>4609中拉手(0.8MM）</v>
      </c>
      <c r="I97" s="23" t="str">
        <f>_xlfn.XLOOKUP(G97,产品资料!C:C,产品资料!F:F)</f>
        <v>0.8*155*515</v>
      </c>
      <c r="J97">
        <f t="shared" si="6"/>
        <v>343</v>
      </c>
      <c r="K97">
        <v>1</v>
      </c>
      <c r="L97" s="28">
        <f>_xlfn.XLOOKUP(G97,产品资料!C:C,产品资料!O:O)*J97</f>
        <v>171.2030992</v>
      </c>
      <c r="M97" s="31">
        <f>IFERROR(_xlfn.XLOOKUP(G97,产品资料!C:C,产品资料!L:L)*J97,0)</f>
        <v>457.56200000000001</v>
      </c>
      <c r="N97">
        <f>IFERROR(_xlfn.XLOOKUP(G97,产品资料!C:C,产品资料!M:M)*J97,0)</f>
        <v>0</v>
      </c>
      <c r="O97" s="53"/>
      <c r="P97" s="23">
        <f>IF(ISNUMBER(SEARCH("合包",R97)),SUMIFS(J:J,G:G,G:G,F:F,F:F)-SUMIFS(打包记录!J:J,打包记录!G:G,G:G,打包记录!F:F,F:F),SUMIFS(J:J,D:D,D:D,G:G,G:G,F:F,F:F)-SUMIFS(打包记录!J:J,打包记录!D:D,D:D,打包记录!G:G,G:G,打包记录!F:F,F:F))</f>
        <v>10</v>
      </c>
      <c r="Q97">
        <v>4</v>
      </c>
    </row>
    <row r="98" spans="1:17" ht="14.25" customHeight="1" x14ac:dyDescent="0.15">
      <c r="A98">
        <v>94</v>
      </c>
      <c r="B98" s="21">
        <v>46249</v>
      </c>
      <c r="C98" t="s">
        <v>191</v>
      </c>
      <c r="D98" s="24" t="s">
        <v>182</v>
      </c>
      <c r="E98" t="s">
        <v>228</v>
      </c>
      <c r="F98">
        <v>39407267</v>
      </c>
      <c r="G98" t="s">
        <v>25</v>
      </c>
      <c r="H98" t="str">
        <f>_xlfn.XLOOKUP(G98,产品资料!C:C,产品资料!E:E)</f>
        <v>4609底盖大加强板(0.8MM)</v>
      </c>
      <c r="I98" s="23" t="str">
        <f>_xlfn.XLOOKUP(G98,产品资料!C:C,产品资料!F:F)</f>
        <v>0.8*172*1162</v>
      </c>
      <c r="J98">
        <f>98*Q98-K98</f>
        <v>764</v>
      </c>
      <c r="K98">
        <v>20</v>
      </c>
      <c r="L98" s="28">
        <f>_xlfn.XLOOKUP(G98,产品资料!C:C,产品资料!O:O)*J98</f>
        <v>952.53105760000005</v>
      </c>
      <c r="M98" s="31">
        <f>IFERROR(_xlfn.XLOOKUP(G98,产品资料!C:C,产品资料!L:L)*J98,0)</f>
        <v>2038.3520000000001</v>
      </c>
      <c r="N98">
        <f>IFERROR(_xlfn.XLOOKUP(G98,产品资料!C:C,产品资料!M:M)*J98,0)</f>
        <v>6112</v>
      </c>
      <c r="O98" s="53" t="s">
        <v>229</v>
      </c>
      <c r="P98" s="23">
        <f>IF(ISNUMBER(SEARCH("合包",R98)),SUMIFS(J:J,G:G,G:G,F:F,F:F)-SUMIFS(打包记录!J:J,打包记录!G:G,G:G,打包记录!F:F,F:F),SUMIFS(J:J,D:D,D:D,G:G,G:G,F:F,F:F)-SUMIFS(打包记录!J:J,打包记录!D:D,D:D,打包记录!G:G,G:G,打包记录!F:F,F:F))</f>
        <v>2</v>
      </c>
      <c r="Q98">
        <v>8</v>
      </c>
    </row>
    <row r="99" spans="1:17" ht="14.25" customHeight="1" x14ac:dyDescent="0.15">
      <c r="A99">
        <v>95</v>
      </c>
      <c r="B99" s="21">
        <v>46249</v>
      </c>
      <c r="C99" t="s">
        <v>191</v>
      </c>
      <c r="D99" s="24" t="s">
        <v>182</v>
      </c>
      <c r="E99" t="s">
        <v>228</v>
      </c>
      <c r="F99">
        <v>39407267</v>
      </c>
      <c r="G99" t="s">
        <v>50</v>
      </c>
      <c r="H99" t="str">
        <f>_xlfn.XLOOKUP(G99,产品资料!C:C,产品资料!E:E)</f>
        <v>4609后盖板(0.8MM)</v>
      </c>
      <c r="I99" s="23" t="str">
        <f>_xlfn.XLOOKUP(G99,产品资料!C:C,产品资料!F:F)</f>
        <v>0.8*770.5*1168.5</v>
      </c>
      <c r="J99">
        <f t="shared" ref="J99:J105" si="7">98*Q99-K99</f>
        <v>782</v>
      </c>
      <c r="K99">
        <v>2</v>
      </c>
      <c r="L99" s="28">
        <f>_xlfn.XLOOKUP(G99,产品资料!C:C,产品资料!O:O)*J99</f>
        <v>4420.846192</v>
      </c>
      <c r="M99" s="31">
        <f>IFERROR(_xlfn.XLOOKUP(G99,产品资料!C:C,产品资料!L:L)*J99,0)</f>
        <v>3032.596</v>
      </c>
      <c r="N99">
        <f>IFERROR(_xlfn.XLOOKUP(G99,产品资料!C:C,产品资料!M:M)*J99,0)</f>
        <v>4692</v>
      </c>
      <c r="O99" s="53"/>
      <c r="P99" s="23">
        <f>IF(ISNUMBER(SEARCH("合包",R99)),SUMIFS(J:J,G:G,G:G,F:F,F:F)-SUMIFS(打包记录!J:J,打包记录!G:G,G:G,打包记录!F:F,F:F),SUMIFS(J:J,D:D,D:D,G:G,G:G,F:F,F:F)-SUMIFS(打包记录!J:J,打包记录!D:D,D:D,打包记录!G:G,G:G,打包记录!F:F,F:F))</f>
        <v>27</v>
      </c>
      <c r="Q99">
        <v>8</v>
      </c>
    </row>
    <row r="100" spans="1:17" ht="14.25" customHeight="1" x14ac:dyDescent="0.15">
      <c r="A100">
        <v>96</v>
      </c>
      <c r="B100" s="21">
        <v>46249</v>
      </c>
      <c r="C100" t="s">
        <v>191</v>
      </c>
      <c r="D100" s="24" t="s">
        <v>182</v>
      </c>
      <c r="E100" t="s">
        <v>228</v>
      </c>
      <c r="F100">
        <v>39407267</v>
      </c>
      <c r="G100" t="s">
        <v>60</v>
      </c>
      <c r="H100" t="str">
        <f>_xlfn.XLOOKUP(G100,产品资料!C:C,产品资料!E:E)</f>
        <v>4609后内垫板大槽(0.8MM)</v>
      </c>
      <c r="I100" s="23" t="str">
        <f>_xlfn.XLOOKUP(G100,产品资料!C:C,产品资料!F:F)</f>
        <v>0.8*145*754.5</v>
      </c>
      <c r="J100">
        <f t="shared" si="7"/>
        <v>771</v>
      </c>
      <c r="K100">
        <v>13</v>
      </c>
      <c r="L100" s="28">
        <f>_xlfn.XLOOKUP(G100,产品资料!C:C,产品资料!O:O)*J100</f>
        <v>529.31432159999997</v>
      </c>
      <c r="M100" s="31">
        <f>IFERROR(_xlfn.XLOOKUP(G100,产品资料!C:C,产品资料!L:L)*J100,0)</f>
        <v>1387.029</v>
      </c>
      <c r="N100">
        <f>IFERROR(_xlfn.XLOOKUP(G100,产品资料!C:C,产品资料!M:M)*J100,0)</f>
        <v>4626</v>
      </c>
      <c r="O100" s="53"/>
      <c r="P100" s="23">
        <f>IF(ISNUMBER(SEARCH("合包",R100)),SUMIFS(J:J,G:G,G:G,F:F,F:F)-SUMIFS(打包记录!J:J,打包记录!G:G,G:G,打包记录!F:F,F:F),SUMIFS(J:J,D:D,D:D,G:G,G:G,F:F,F:F)-SUMIFS(打包记录!J:J,打包记录!D:D,D:D,打包记录!G:G,G:G,打包记录!F:F,F:F))</f>
        <v>4</v>
      </c>
      <c r="Q100">
        <v>8</v>
      </c>
    </row>
    <row r="101" spans="1:17" ht="14.25" customHeight="1" x14ac:dyDescent="0.15">
      <c r="A101">
        <v>97</v>
      </c>
      <c r="B101" s="21">
        <v>46249</v>
      </c>
      <c r="C101" t="s">
        <v>191</v>
      </c>
      <c r="D101" s="24" t="s">
        <v>182</v>
      </c>
      <c r="E101" t="s">
        <v>228</v>
      </c>
      <c r="F101">
        <v>39407267</v>
      </c>
      <c r="G101" t="s">
        <v>75</v>
      </c>
      <c r="H101" t="str">
        <f>_xlfn.XLOOKUP(G101,产品资料!C:C,产品资料!E:E)</f>
        <v>4609中隔内垫板大槽(0.8MM)</v>
      </c>
      <c r="I101" s="23" t="str">
        <f>_xlfn.XLOOKUP(G101,产品资料!C:C,产品资料!F:F)</f>
        <v>0.8*137*550</v>
      </c>
      <c r="J101">
        <f t="shared" si="7"/>
        <v>385</v>
      </c>
      <c r="K101">
        <v>7</v>
      </c>
      <c r="L101" s="28">
        <f>_xlfn.XLOOKUP(G101,产品资料!C:C,产品资料!O:O)*J101</f>
        <v>182.01198399999998</v>
      </c>
      <c r="M101" s="31">
        <f>IFERROR(_xlfn.XLOOKUP(G101,产品资料!C:C,产品资料!L:L)*J101,0)</f>
        <v>528.99</v>
      </c>
      <c r="N101">
        <f>IFERROR(_xlfn.XLOOKUP(G101,产品资料!C:C,产品资料!M:M)*J101,0)</f>
        <v>1925</v>
      </c>
      <c r="O101" s="53"/>
      <c r="P101" s="23">
        <f>IF(ISNUMBER(SEARCH("合包",R101)),SUMIFS(J:J,G:G,G:G,F:F,F:F)-SUMIFS(打包记录!J:J,打包记录!G:G,G:G,打包记录!F:F,F:F),SUMIFS(J:J,D:D,D:D,G:G,G:G,F:F,F:F)-SUMIFS(打包记录!J:J,打包记录!D:D,D:D,打包记录!G:G,G:G,打包记录!F:F,F:F))</f>
        <v>2</v>
      </c>
      <c r="Q101">
        <v>4</v>
      </c>
    </row>
    <row r="102" spans="1:17" ht="14.25" customHeight="1" x14ac:dyDescent="0.15">
      <c r="A102">
        <v>98</v>
      </c>
      <c r="B102" s="21">
        <v>46249</v>
      </c>
      <c r="C102" t="s">
        <v>191</v>
      </c>
      <c r="D102" s="24" t="s">
        <v>182</v>
      </c>
      <c r="E102" t="s">
        <v>228</v>
      </c>
      <c r="F102">
        <v>39407267</v>
      </c>
      <c r="G102" t="s">
        <v>100</v>
      </c>
      <c r="H102" t="str">
        <f>_xlfn.XLOOKUP(G102,产品资料!C:C,产品资料!E:E)</f>
        <v>4609小抽斗(0.8MM)</v>
      </c>
      <c r="I102" s="23" t="str">
        <f>_xlfn.XLOOKUP(G102,产品资料!C:C,产品资料!F:F)</f>
        <v>0.8*418*603</v>
      </c>
      <c r="J102">
        <f t="shared" si="7"/>
        <v>385</v>
      </c>
      <c r="K102">
        <v>7</v>
      </c>
      <c r="L102" s="28">
        <f>_xlfn.XLOOKUP(G102,产品资料!C:C,产品资料!O:O)*J102</f>
        <v>605.46547599999985</v>
      </c>
      <c r="M102" s="31">
        <f>IFERROR(_xlfn.XLOOKUP(G102,产品资料!C:C,产品资料!L:L)*J102,0)</f>
        <v>804.26499999999999</v>
      </c>
      <c r="N102">
        <f>IFERROR(_xlfn.XLOOKUP(G102,产品资料!C:C,产品资料!M:M)*J102,0)</f>
        <v>4620</v>
      </c>
      <c r="O102" s="53"/>
      <c r="P102" s="23">
        <f>IF(ISNUMBER(SEARCH("合包",R102)),SUMIFS(J:J,G:G,G:G,F:F,F:F)-SUMIFS(打包记录!J:J,打包记录!G:G,G:G,打包记录!F:F,F:F),SUMIFS(J:J,D:D,D:D,G:G,G:G,F:F,F:F)-SUMIFS(打包记录!J:J,打包记录!D:D,D:D,打包记录!G:G,G:G,打包记录!F:F,F:F))</f>
        <v>3</v>
      </c>
      <c r="Q102">
        <v>4</v>
      </c>
    </row>
    <row r="103" spans="1:17" ht="14.25" customHeight="1" x14ac:dyDescent="0.15">
      <c r="A103">
        <v>99</v>
      </c>
      <c r="B103" s="21">
        <v>46249</v>
      </c>
      <c r="C103" t="s">
        <v>191</v>
      </c>
      <c r="D103" s="24" t="s">
        <v>182</v>
      </c>
      <c r="E103" t="s">
        <v>228</v>
      </c>
      <c r="F103">
        <v>39407267</v>
      </c>
      <c r="G103" t="s">
        <v>105</v>
      </c>
      <c r="H103" t="str">
        <f>_xlfn.XLOOKUP(G103,产品资料!C:C,产品资料!E:E)</f>
        <v>4609小拉手(0.8MM）</v>
      </c>
      <c r="I103" s="23" t="str">
        <f>_xlfn.XLOOKUP(G103,产品资料!C:C,产品资料!F:F)</f>
        <v>0.8*142*515</v>
      </c>
      <c r="J103">
        <f t="shared" si="7"/>
        <v>1553</v>
      </c>
      <c r="K103">
        <v>15</v>
      </c>
      <c r="L103" s="28">
        <f>_xlfn.XLOOKUP(G103,产品资料!C:C,产品资料!O:O)*J103</f>
        <v>709.9092235999999</v>
      </c>
      <c r="M103" s="31">
        <f>IFERROR(_xlfn.XLOOKUP(G103,产品资料!C:C,产品资料!L:L)*J103,0)</f>
        <v>2031.3240000000001</v>
      </c>
      <c r="N103">
        <f>IFERROR(_xlfn.XLOOKUP(G103,产品资料!C:C,产品资料!M:M)*J103,0)</f>
        <v>0</v>
      </c>
      <c r="O103" s="53"/>
      <c r="P103" s="23">
        <f>IF(ISNUMBER(SEARCH("合包",R103)),SUMIFS(J:J,G:G,G:G,F:F,F:F)-SUMIFS(打包记录!J:J,打包记录!G:G,G:G,打包记录!F:F,F:F),SUMIFS(J:J,D:D,D:D,G:G,G:G,F:F,F:F)-SUMIFS(打包记录!J:J,打包记录!D:D,D:D,打包记录!G:G,G:G,打包记录!F:F,F:F))</f>
        <v>4</v>
      </c>
      <c r="Q103">
        <v>16</v>
      </c>
    </row>
    <row r="104" spans="1:17" ht="14.25" customHeight="1" x14ac:dyDescent="0.15">
      <c r="A104">
        <v>100</v>
      </c>
      <c r="B104" s="21">
        <v>46249</v>
      </c>
      <c r="C104" t="s">
        <v>191</v>
      </c>
      <c r="D104" s="24" t="s">
        <v>182</v>
      </c>
      <c r="E104" t="s">
        <v>228</v>
      </c>
      <c r="F104">
        <v>39407267</v>
      </c>
      <c r="G104" t="s">
        <v>110</v>
      </c>
      <c r="H104" t="str">
        <f>_xlfn.XLOOKUP(G104,产品资料!C:C,产品资料!E:E)</f>
        <v>4609中抽斗(0.8MM)</v>
      </c>
      <c r="I104" s="23" t="str">
        <f>_xlfn.XLOOKUP(G104,产品资料!C:C,产品资料!F:F)</f>
        <v>0.8*418*639</v>
      </c>
      <c r="J104">
        <f t="shared" si="7"/>
        <v>389</v>
      </c>
      <c r="K104">
        <v>3</v>
      </c>
      <c r="L104" s="28">
        <f>_xlfn.XLOOKUP(G104,产品资料!C:C,产品资料!O:O)*J104</f>
        <v>648.52197239999998</v>
      </c>
      <c r="M104" s="31">
        <f>IFERROR(_xlfn.XLOOKUP(G104,产品资料!C:C,产品资料!L:L)*J104,0)</f>
        <v>840.62900000000002</v>
      </c>
      <c r="N104">
        <f>IFERROR(_xlfn.XLOOKUP(G104,产品资料!C:C,产品资料!M:M)*J104,0)</f>
        <v>4668</v>
      </c>
      <c r="O104" s="53"/>
      <c r="P104" s="23">
        <f>IF(ISNUMBER(SEARCH("合包",R104)),SUMIFS(J:J,G:G,G:G,F:F,F:F)-SUMIFS(打包记录!J:J,打包记录!G:G,G:G,打包记录!F:F,F:F),SUMIFS(J:J,D:D,D:D,G:G,G:G,F:F,F:F)-SUMIFS(打包记录!J:J,打包记录!D:D,D:D,打包记录!G:G,G:G,打包记录!F:F,F:F))</f>
        <v>2</v>
      </c>
      <c r="Q104">
        <v>4</v>
      </c>
    </row>
    <row r="105" spans="1:17" ht="14.25" customHeight="1" x14ac:dyDescent="0.15">
      <c r="A105">
        <v>101</v>
      </c>
      <c r="B105" s="21">
        <v>46249</v>
      </c>
      <c r="C105" t="s">
        <v>191</v>
      </c>
      <c r="D105" s="24" t="s">
        <v>182</v>
      </c>
      <c r="E105" t="s">
        <v>228</v>
      </c>
      <c r="F105">
        <v>39407267</v>
      </c>
      <c r="G105" t="s">
        <v>115</v>
      </c>
      <c r="H105" t="str">
        <f>_xlfn.XLOOKUP(G105,产品资料!C:C,产品资料!E:E)</f>
        <v>4609中拉手(0.8MM）</v>
      </c>
      <c r="I105" s="23" t="str">
        <f>_xlfn.XLOOKUP(G105,产品资料!C:C,产品资料!F:F)</f>
        <v>0.8*155*515</v>
      </c>
      <c r="J105">
        <f t="shared" si="7"/>
        <v>392</v>
      </c>
      <c r="L105" s="28">
        <f>_xlfn.XLOOKUP(G105,产品资料!C:C,产品资料!O:O)*J105</f>
        <v>195.66068479999998</v>
      </c>
      <c r="M105" s="31">
        <f>IFERROR(_xlfn.XLOOKUP(G105,产品资料!C:C,产品资料!L:L)*J105,0)</f>
        <v>522.928</v>
      </c>
      <c r="N105">
        <f>IFERROR(_xlfn.XLOOKUP(G105,产品资料!C:C,产品资料!M:M)*J105,0)</f>
        <v>0</v>
      </c>
      <c r="O105" s="53"/>
      <c r="P105" s="23">
        <f>IF(ISNUMBER(SEARCH("合包",R105)),SUMIFS(J:J,G:G,G:G,F:F,F:F)-SUMIFS(打包记录!J:J,打包记录!G:G,G:G,打包记录!F:F,F:F),SUMIFS(J:J,D:D,D:D,G:G,G:G,F:F,F:F)-SUMIFS(打包记录!J:J,打包记录!D:D,D:D,打包记录!G:G,G:G,打包记录!F:F,F:F))</f>
        <v>10</v>
      </c>
      <c r="Q105">
        <v>4</v>
      </c>
    </row>
    <row r="106" spans="1:17" ht="14.25" customHeight="1" x14ac:dyDescent="0.15">
      <c r="A106">
        <v>102</v>
      </c>
      <c r="B106" s="21">
        <v>46249</v>
      </c>
      <c r="C106" t="s">
        <v>192</v>
      </c>
      <c r="D106" t="s">
        <v>179</v>
      </c>
      <c r="E106" t="s">
        <v>230</v>
      </c>
      <c r="F106">
        <v>39407267</v>
      </c>
      <c r="G106" t="s">
        <v>65</v>
      </c>
      <c r="H106" t="str">
        <f>_xlfn.XLOOKUP(G106,产品资料!C:C,产品资料!E:E)</f>
        <v>4609中隔板(0.8MM)</v>
      </c>
      <c r="I106" s="23" t="str">
        <f>_xlfn.XLOOKUP(G106,产品资料!C:C,产品资料!F:F)</f>
        <v>0.8*481.5*550</v>
      </c>
      <c r="J106">
        <f t="shared" ref="J106" si="8">6*Q106-K106</f>
        <v>12</v>
      </c>
      <c r="L106" s="28">
        <f>_xlfn.XLOOKUP(G106,产品资料!C:C,产品资料!O:O)*J106</f>
        <v>19.9229232</v>
      </c>
      <c r="M106" s="31">
        <f>IFERROR(_xlfn.XLOOKUP(G106,产品资料!C:C,产品资料!L:L)*J106,0)</f>
        <v>24.756</v>
      </c>
      <c r="N106">
        <f>IFERROR(_xlfn.XLOOKUP(G106,产品资料!C:C,产品资料!M:M)*J106,0)</f>
        <v>180</v>
      </c>
      <c r="O106" s="34"/>
      <c r="P106" s="23">
        <f>IF(ISNUMBER(SEARCH("合包",R106)),SUMIFS(J:J,G:G,G:G,F:F,F:F)-SUMIFS(打包记录!J:J,打包记录!G:G,G:G,打包记录!F:F,F:F),SUMIFS(J:J,D:D,D:D,G:G,G:G,F:F,F:F)-SUMIFS(打包记录!J:J,打包记录!D:D,D:D,打包记录!G:G,G:G,打包记录!F:F,F:F))</f>
        <v>199</v>
      </c>
      <c r="Q106">
        <v>2</v>
      </c>
    </row>
    <row r="107" spans="1:17" ht="14.25" customHeight="1" x14ac:dyDescent="0.15">
      <c r="A107">
        <v>103</v>
      </c>
      <c r="B107" s="21">
        <v>46251</v>
      </c>
      <c r="C107" t="s">
        <v>189</v>
      </c>
      <c r="D107" s="24" t="s">
        <v>182</v>
      </c>
      <c r="E107" t="s">
        <v>228</v>
      </c>
      <c r="F107">
        <v>39407267</v>
      </c>
      <c r="G107" t="s">
        <v>25</v>
      </c>
      <c r="H107" t="str">
        <f>_xlfn.XLOOKUP(G107,产品资料!C:C,产品资料!E:E)</f>
        <v>4609底盖大加强板(0.8MM)</v>
      </c>
      <c r="I107" s="23" t="str">
        <f>_xlfn.XLOOKUP(G107,产品资料!C:C,产品资料!F:F)</f>
        <v>0.8*172*1162</v>
      </c>
      <c r="J107">
        <f t="shared" ref="J107:J114" si="9">74*Q107-K107</f>
        <v>588</v>
      </c>
      <c r="K107">
        <v>4</v>
      </c>
      <c r="L107" s="28">
        <f>_xlfn.XLOOKUP(G107,产品资料!C:C,产品资料!O:O)*J107</f>
        <v>733.09981920000007</v>
      </c>
      <c r="M107" s="31">
        <f>IFERROR(_xlfn.XLOOKUP(G107,产品资料!C:C,产品资料!L:L)*J107,0)</f>
        <v>1568.7840000000001</v>
      </c>
      <c r="N107">
        <f>IFERROR(_xlfn.XLOOKUP(G107,产品资料!C:C,产品资料!M:M)*J107,0)</f>
        <v>4704</v>
      </c>
      <c r="O107" s="51" t="s">
        <v>231</v>
      </c>
      <c r="P107" s="23">
        <f>IF(ISNUMBER(SEARCH("合包",R107)),SUMIFS(J:J,G:G,G:G,F:F,F:F)-SUMIFS(打包记录!J:J,打包记录!G:G,G:G,打包记录!F:F,F:F),SUMIFS(J:J,D:D,D:D,G:G,G:G,F:F,F:F)-SUMIFS(打包记录!J:J,打包记录!D:D,D:D,打包记录!G:G,G:G,打包记录!F:F,F:F))</f>
        <v>2</v>
      </c>
      <c r="Q107">
        <v>8</v>
      </c>
    </row>
    <row r="108" spans="1:17" ht="14.25" customHeight="1" x14ac:dyDescent="0.15">
      <c r="A108">
        <v>104</v>
      </c>
      <c r="B108" s="21">
        <v>46251</v>
      </c>
      <c r="C108" t="s">
        <v>189</v>
      </c>
      <c r="D108" s="24" t="s">
        <v>182</v>
      </c>
      <c r="E108" t="s">
        <v>228</v>
      </c>
      <c r="F108">
        <v>39407267</v>
      </c>
      <c r="G108" t="s">
        <v>50</v>
      </c>
      <c r="H108" t="str">
        <f>_xlfn.XLOOKUP(G108,产品资料!C:C,产品资料!E:E)</f>
        <v>4609后盖板(0.8MM)</v>
      </c>
      <c r="I108" s="23" t="str">
        <f>_xlfn.XLOOKUP(G108,产品资料!C:C,产品资料!F:F)</f>
        <v>0.8*770.5*1168.5</v>
      </c>
      <c r="J108">
        <f t="shared" si="9"/>
        <v>590</v>
      </c>
      <c r="K108">
        <v>2</v>
      </c>
      <c r="L108" s="28">
        <f>_xlfn.XLOOKUP(G108,产品资料!C:C,产品资料!O:O)*J108</f>
        <v>3335.4210399999997</v>
      </c>
      <c r="M108" s="31">
        <f>IFERROR(_xlfn.XLOOKUP(G108,产品资料!C:C,产品资料!L:L)*J108,0)</f>
        <v>2288.02</v>
      </c>
      <c r="N108">
        <f>IFERROR(_xlfn.XLOOKUP(G108,产品资料!C:C,产品资料!M:M)*J108,0)</f>
        <v>3540</v>
      </c>
      <c r="O108" s="51"/>
      <c r="P108" s="23">
        <f>IF(ISNUMBER(SEARCH("合包",R108)),SUMIFS(J:J,G:G,G:G,F:F,F:F)-SUMIFS(打包记录!J:J,打包记录!G:G,G:G,打包记录!F:F,F:F),SUMIFS(J:J,D:D,D:D,G:G,G:G,F:F,F:F)-SUMIFS(打包记录!J:J,打包记录!D:D,D:D,打包记录!G:G,G:G,打包记录!F:F,F:F))</f>
        <v>27</v>
      </c>
      <c r="Q108">
        <v>8</v>
      </c>
    </row>
    <row r="109" spans="1:17" ht="14.25" customHeight="1" x14ac:dyDescent="0.15">
      <c r="A109">
        <v>105</v>
      </c>
      <c r="B109" s="21">
        <v>46251</v>
      </c>
      <c r="C109" t="s">
        <v>189</v>
      </c>
      <c r="D109" s="24" t="s">
        <v>182</v>
      </c>
      <c r="E109" t="s">
        <v>228</v>
      </c>
      <c r="F109">
        <v>39407267</v>
      </c>
      <c r="G109" t="s">
        <v>60</v>
      </c>
      <c r="H109" t="str">
        <f>_xlfn.XLOOKUP(G109,产品资料!C:C,产品资料!E:E)</f>
        <v>4609后内垫板大槽(0.8MM)</v>
      </c>
      <c r="I109" s="23" t="str">
        <f>_xlfn.XLOOKUP(G109,产品资料!C:C,产品资料!F:F)</f>
        <v>0.8*145*754.5</v>
      </c>
      <c r="J109">
        <f t="shared" si="9"/>
        <v>592</v>
      </c>
      <c r="L109" s="28">
        <f>_xlfn.XLOOKUP(G109,产品资料!C:C,产品资料!O:O)*J109</f>
        <v>406.42552319999999</v>
      </c>
      <c r="M109" s="31">
        <f>IFERROR(_xlfn.XLOOKUP(G109,产品资料!C:C,产品资料!L:L)*J109,0)</f>
        <v>1065.008</v>
      </c>
      <c r="N109">
        <f>IFERROR(_xlfn.XLOOKUP(G109,产品资料!C:C,产品资料!M:M)*J109,0)</f>
        <v>3552</v>
      </c>
      <c r="O109" s="51"/>
      <c r="P109" s="23">
        <f>IF(ISNUMBER(SEARCH("合包",R109)),SUMIFS(J:J,G:G,G:G,F:F,F:F)-SUMIFS(打包记录!J:J,打包记录!G:G,G:G,打包记录!F:F,F:F),SUMIFS(J:J,D:D,D:D,G:G,G:G,F:F,F:F)-SUMIFS(打包记录!J:J,打包记录!D:D,D:D,打包记录!G:G,G:G,打包记录!F:F,F:F))</f>
        <v>4</v>
      </c>
      <c r="Q109">
        <v>8</v>
      </c>
    </row>
    <row r="110" spans="1:17" ht="14.25" customHeight="1" x14ac:dyDescent="0.15">
      <c r="A110">
        <v>106</v>
      </c>
      <c r="B110" s="21">
        <v>46251</v>
      </c>
      <c r="C110" t="s">
        <v>189</v>
      </c>
      <c r="D110" s="24" t="s">
        <v>182</v>
      </c>
      <c r="E110" t="s">
        <v>228</v>
      </c>
      <c r="F110">
        <v>39407267</v>
      </c>
      <c r="G110" t="s">
        <v>75</v>
      </c>
      <c r="H110" t="str">
        <f>_xlfn.XLOOKUP(G110,产品资料!C:C,产品资料!E:E)</f>
        <v>4609中隔内垫板大槽(0.8MM)</v>
      </c>
      <c r="I110" s="23" t="str">
        <f>_xlfn.XLOOKUP(G110,产品资料!C:C,产品资料!F:F)</f>
        <v>0.8*137*550</v>
      </c>
      <c r="J110">
        <f t="shared" si="9"/>
        <v>296</v>
      </c>
      <c r="L110" s="28">
        <f>_xlfn.XLOOKUP(G110,产品资料!C:C,产品资料!O:O)*J110</f>
        <v>139.93648639999998</v>
      </c>
      <c r="M110" s="31">
        <f>IFERROR(_xlfn.XLOOKUP(G110,产品资料!C:C,产品资料!L:L)*J110,0)</f>
        <v>406.70400000000001</v>
      </c>
      <c r="N110">
        <f>IFERROR(_xlfn.XLOOKUP(G110,产品资料!C:C,产品资料!M:M)*J110,0)</f>
        <v>1480</v>
      </c>
      <c r="O110" s="51"/>
      <c r="P110" s="23">
        <f>IF(ISNUMBER(SEARCH("合包",R110)),SUMIFS(J:J,G:G,G:G,F:F,F:F)-SUMIFS(打包记录!J:J,打包记录!G:G,G:G,打包记录!F:F,F:F),SUMIFS(J:J,D:D,D:D,G:G,G:G,F:F,F:F)-SUMIFS(打包记录!J:J,打包记录!D:D,D:D,打包记录!G:G,G:G,打包记录!F:F,F:F))</f>
        <v>2</v>
      </c>
      <c r="Q110">
        <v>4</v>
      </c>
    </row>
    <row r="111" spans="1:17" ht="14.25" customHeight="1" x14ac:dyDescent="0.15">
      <c r="A111">
        <v>107</v>
      </c>
      <c r="B111" s="21">
        <v>46251</v>
      </c>
      <c r="C111" t="s">
        <v>189</v>
      </c>
      <c r="D111" s="24" t="s">
        <v>182</v>
      </c>
      <c r="E111" t="s">
        <v>228</v>
      </c>
      <c r="F111">
        <v>39407267</v>
      </c>
      <c r="G111" t="s">
        <v>100</v>
      </c>
      <c r="H111" t="str">
        <f>_xlfn.XLOOKUP(G111,产品资料!C:C,产品资料!E:E)</f>
        <v>4609小抽斗(0.8MM)</v>
      </c>
      <c r="I111" s="23" t="str">
        <f>_xlfn.XLOOKUP(G111,产品资料!C:C,产品资料!F:F)</f>
        <v>0.8*418*603</v>
      </c>
      <c r="J111">
        <f t="shared" si="9"/>
        <v>296</v>
      </c>
      <c r="L111" s="28">
        <f>_xlfn.XLOOKUP(G111,产品资料!C:C,产品资料!O:O)*J111</f>
        <v>465.50072959999994</v>
      </c>
      <c r="M111" s="31">
        <f>IFERROR(_xlfn.XLOOKUP(G111,产品资料!C:C,产品资料!L:L)*J111,0)</f>
        <v>618.34399999999994</v>
      </c>
      <c r="N111">
        <f>IFERROR(_xlfn.XLOOKUP(G111,产品资料!C:C,产品资料!M:M)*J111,0)</f>
        <v>3552</v>
      </c>
      <c r="O111" s="51"/>
      <c r="P111" s="23">
        <f>IF(ISNUMBER(SEARCH("合包",R111)),SUMIFS(J:J,G:G,G:G,F:F,F:F)-SUMIFS(打包记录!J:J,打包记录!G:G,G:G,打包记录!F:F,F:F),SUMIFS(J:J,D:D,D:D,G:G,G:G,F:F,F:F)-SUMIFS(打包记录!J:J,打包记录!D:D,D:D,打包记录!G:G,G:G,打包记录!F:F,F:F))</f>
        <v>3</v>
      </c>
      <c r="Q111">
        <v>4</v>
      </c>
    </row>
    <row r="112" spans="1:17" ht="14.25" customHeight="1" x14ac:dyDescent="0.15">
      <c r="A112">
        <v>108</v>
      </c>
      <c r="B112" s="21">
        <v>46251</v>
      </c>
      <c r="C112" t="s">
        <v>189</v>
      </c>
      <c r="D112" s="24" t="s">
        <v>182</v>
      </c>
      <c r="E112" t="s">
        <v>228</v>
      </c>
      <c r="F112">
        <v>39407267</v>
      </c>
      <c r="G112" t="s">
        <v>105</v>
      </c>
      <c r="H112" t="str">
        <f>_xlfn.XLOOKUP(G112,产品资料!C:C,产品资料!E:E)</f>
        <v>4609小拉手(0.8MM）</v>
      </c>
      <c r="I112" s="23" t="str">
        <f>_xlfn.XLOOKUP(G112,产品资料!C:C,产品资料!F:F)</f>
        <v>0.8*142*515</v>
      </c>
      <c r="J112">
        <f t="shared" si="9"/>
        <v>1184</v>
      </c>
      <c r="L112" s="28">
        <f>_xlfn.XLOOKUP(G112,产品资料!C:C,产品资料!O:O)*J112</f>
        <v>541.23150079999994</v>
      </c>
      <c r="M112" s="31">
        <f>IFERROR(_xlfn.XLOOKUP(G112,产品资料!C:C,产品资料!L:L)*J112,0)</f>
        <v>1548.672</v>
      </c>
      <c r="N112">
        <f>IFERROR(_xlfn.XLOOKUP(G112,产品资料!C:C,产品资料!M:M)*J112,0)</f>
        <v>0</v>
      </c>
      <c r="O112" s="51"/>
      <c r="P112" s="23">
        <f>IF(ISNUMBER(SEARCH("合包",R112)),SUMIFS(J:J,G:G,G:G,F:F,F:F)-SUMIFS(打包记录!J:J,打包记录!G:G,G:G,打包记录!F:F,F:F),SUMIFS(J:J,D:D,D:D,G:G,G:G,F:F,F:F)-SUMIFS(打包记录!J:J,打包记录!D:D,D:D,打包记录!G:G,G:G,打包记录!F:F,F:F))</f>
        <v>4</v>
      </c>
      <c r="Q112">
        <v>16</v>
      </c>
    </row>
    <row r="113" spans="1:17" ht="14.25" customHeight="1" x14ac:dyDescent="0.15">
      <c r="A113">
        <v>109</v>
      </c>
      <c r="B113" s="21">
        <v>46251</v>
      </c>
      <c r="C113" t="s">
        <v>189</v>
      </c>
      <c r="D113" s="24" t="s">
        <v>182</v>
      </c>
      <c r="E113" t="s">
        <v>228</v>
      </c>
      <c r="F113">
        <v>39407267</v>
      </c>
      <c r="G113" t="s">
        <v>110</v>
      </c>
      <c r="H113" t="str">
        <f>_xlfn.XLOOKUP(G113,产品资料!C:C,产品资料!E:E)</f>
        <v>4609中抽斗(0.8MM)</v>
      </c>
      <c r="I113" s="23" t="str">
        <f>_xlfn.XLOOKUP(G113,产品资料!C:C,产品资料!F:F)</f>
        <v>0.8*418*639</v>
      </c>
      <c r="J113">
        <f t="shared" si="9"/>
        <v>295</v>
      </c>
      <c r="K113">
        <v>1</v>
      </c>
      <c r="L113" s="28">
        <f>_xlfn.XLOOKUP(G113,产品资料!C:C,产品资料!O:O)*J113</f>
        <v>491.80972199999997</v>
      </c>
      <c r="M113" s="31">
        <f>IFERROR(_xlfn.XLOOKUP(G113,产品资料!C:C,产品资料!L:L)*J113,0)</f>
        <v>637.495</v>
      </c>
      <c r="N113">
        <f>IFERROR(_xlfn.XLOOKUP(G113,产品资料!C:C,产品资料!M:M)*J113,0)</f>
        <v>3540</v>
      </c>
      <c r="O113" s="51"/>
      <c r="P113" s="23">
        <f>IF(ISNUMBER(SEARCH("合包",R113)),SUMIFS(J:J,G:G,G:G,F:F,F:F)-SUMIFS(打包记录!J:J,打包记录!G:G,G:G,打包记录!F:F,F:F),SUMIFS(J:J,D:D,D:D,G:G,G:G,F:F,F:F)-SUMIFS(打包记录!J:J,打包记录!D:D,D:D,打包记录!G:G,G:G,打包记录!F:F,F:F))</f>
        <v>2</v>
      </c>
      <c r="Q113">
        <v>4</v>
      </c>
    </row>
    <row r="114" spans="1:17" ht="14.25" customHeight="1" x14ac:dyDescent="0.15">
      <c r="A114">
        <v>110</v>
      </c>
      <c r="B114" s="21">
        <v>46251</v>
      </c>
      <c r="C114" t="s">
        <v>189</v>
      </c>
      <c r="D114" s="24" t="s">
        <v>182</v>
      </c>
      <c r="E114" t="s">
        <v>228</v>
      </c>
      <c r="F114">
        <v>39407267</v>
      </c>
      <c r="G114" t="s">
        <v>115</v>
      </c>
      <c r="H114" t="str">
        <f>_xlfn.XLOOKUP(G114,产品资料!C:C,产品资料!E:E)</f>
        <v>4609中拉手(0.8MM）</v>
      </c>
      <c r="I114" s="23" t="str">
        <f>_xlfn.XLOOKUP(G114,产品资料!C:C,产品资料!F:F)</f>
        <v>0.8*155*515</v>
      </c>
      <c r="J114">
        <f t="shared" si="9"/>
        <v>296</v>
      </c>
      <c r="L114" s="28">
        <f>_xlfn.XLOOKUP(G114,产品资料!C:C,产品资料!O:O)*J114</f>
        <v>147.74378239999999</v>
      </c>
      <c r="M114" s="31">
        <f>IFERROR(_xlfn.XLOOKUP(G114,产品资料!C:C,产品资料!L:L)*J114,0)</f>
        <v>394.86400000000003</v>
      </c>
      <c r="N114">
        <f>IFERROR(_xlfn.XLOOKUP(G114,产品资料!C:C,产品资料!M:M)*J114,0)</f>
        <v>0</v>
      </c>
      <c r="O114" s="51"/>
      <c r="P114" s="23">
        <f>IF(ISNUMBER(SEARCH("合包",R114)),SUMIFS(J:J,G:G,G:G,F:F,F:F)-SUMIFS(打包记录!J:J,打包记录!G:G,G:G,打包记录!F:F,F:F),SUMIFS(J:J,D:D,D:D,G:G,G:G,F:F,F:F)-SUMIFS(打包记录!J:J,打包记录!D:D,D:D,打包记录!G:G,G:G,打包记录!F:F,F:F))</f>
        <v>10</v>
      </c>
      <c r="Q114">
        <v>4</v>
      </c>
    </row>
    <row r="115" spans="1:17" ht="14.25" customHeight="1" x14ac:dyDescent="0.15">
      <c r="A115">
        <v>111</v>
      </c>
      <c r="B115" s="21">
        <v>46251</v>
      </c>
      <c r="C115" t="s">
        <v>189</v>
      </c>
      <c r="D115" s="24" t="s">
        <v>182</v>
      </c>
      <c r="E115" t="s">
        <v>228</v>
      </c>
      <c r="F115">
        <v>39407267</v>
      </c>
      <c r="G115" t="s">
        <v>120</v>
      </c>
      <c r="H115" t="str">
        <f>_xlfn.XLOOKUP(G115,产品资料!C:C,产品资料!E:E)</f>
        <v>4609大抽斗(0.8MM)</v>
      </c>
      <c r="I115" s="23" t="str">
        <f>_xlfn.XLOOKUP(G115,产品资料!C:C,产品资料!F:F)</f>
        <v>0.8*418*919</v>
      </c>
      <c r="J115">
        <f>14*Q115-K115</f>
        <v>336</v>
      </c>
      <c r="L115" s="28">
        <f>_xlfn.XLOOKUP(G115,产品资料!C:C,产品资料!O:O)*J115</f>
        <v>806.93679359999987</v>
      </c>
      <c r="M115" s="31">
        <f>IFERROR(_xlfn.XLOOKUP(G115,产品资料!C:C,产品资料!L:L)*J115,0)</f>
        <v>914.25600000000009</v>
      </c>
      <c r="N115">
        <f>IFERROR(_xlfn.XLOOKUP(G115,产品资料!C:C,产品资料!M:M)*J115,0)</f>
        <v>6048</v>
      </c>
      <c r="O115" s="51" t="s">
        <v>232</v>
      </c>
      <c r="P115" s="23">
        <f>IF(ISNUMBER(SEARCH("合包",R115)),SUMIFS(J:J,G:G,G:G,F:F,F:F)-SUMIFS(打包记录!J:J,打包记录!G:G,G:G,打包记录!F:F,F:F),SUMIFS(J:J,D:D,D:D,G:G,G:G,F:F,F:F)-SUMIFS(打包记录!J:J,打包记录!D:D,D:D,打包记录!G:G,G:G,打包记录!F:F,F:F))</f>
        <v>2</v>
      </c>
      <c r="Q115">
        <v>24</v>
      </c>
    </row>
    <row r="116" spans="1:17" ht="14.25" customHeight="1" x14ac:dyDescent="0.15">
      <c r="A116">
        <v>112</v>
      </c>
      <c r="B116" s="21">
        <v>46251</v>
      </c>
      <c r="C116" t="s">
        <v>189</v>
      </c>
      <c r="D116" s="24" t="s">
        <v>182</v>
      </c>
      <c r="E116" t="s">
        <v>228</v>
      </c>
      <c r="F116">
        <v>39407267</v>
      </c>
      <c r="G116" t="s">
        <v>115</v>
      </c>
      <c r="H116" t="str">
        <f>_xlfn.XLOOKUP(G116,产品资料!C:C,产品资料!E:E)</f>
        <v>4609中拉手(0.8MM）</v>
      </c>
      <c r="I116" s="23" t="str">
        <f>_xlfn.XLOOKUP(G116,产品资料!C:C,产品资料!F:F)</f>
        <v>0.8*155*515</v>
      </c>
      <c r="J116">
        <f>14*Q116-K116</f>
        <v>112</v>
      </c>
      <c r="L116" s="28">
        <f>_xlfn.XLOOKUP(G116,产品资料!C:C,产品资料!O:O)*J116</f>
        <v>55.903052799999998</v>
      </c>
      <c r="M116" s="31">
        <f>IFERROR(_xlfn.XLOOKUP(G116,产品资料!C:C,产品资料!L:L)*J116,0)</f>
        <v>149.40800000000002</v>
      </c>
      <c r="N116">
        <f>IFERROR(_xlfn.XLOOKUP(G116,产品资料!C:C,产品资料!M:M)*J116,0)</f>
        <v>0</v>
      </c>
      <c r="O116" s="51"/>
      <c r="P116" s="23">
        <f>IF(ISNUMBER(SEARCH("合包",R116)),SUMIFS(J:J,G:G,G:G,F:F,F:F)-SUMIFS(打包记录!J:J,打包记录!G:G,G:G,打包记录!F:F,F:F),SUMIFS(J:J,D:D,D:D,G:G,G:G,F:F,F:F)-SUMIFS(打包记录!J:J,打包记录!D:D,D:D,打包记录!G:G,G:G,打包记录!F:F,F:F))</f>
        <v>10</v>
      </c>
      <c r="Q116">
        <v>8</v>
      </c>
    </row>
    <row r="117" spans="1:17" ht="14.25" customHeight="1" x14ac:dyDescent="0.15">
      <c r="A117">
        <v>113</v>
      </c>
      <c r="B117" s="21">
        <v>46251</v>
      </c>
      <c r="C117" t="s">
        <v>189</v>
      </c>
      <c r="D117" s="24" t="s">
        <v>182</v>
      </c>
      <c r="E117" t="s">
        <v>228</v>
      </c>
      <c r="F117">
        <v>39407267</v>
      </c>
      <c r="G117" t="s">
        <v>55</v>
      </c>
      <c r="H117" t="str">
        <f>_xlfn.XLOOKUP(G117,产品资料!C:C,产品资料!E:E)</f>
        <v>4609左内垫板(0.8MM)</v>
      </c>
      <c r="I117" s="23" t="str">
        <f>_xlfn.XLOOKUP(G117,产品资料!C:C,产品资料!F:F)</f>
        <v>0.8*152*662</v>
      </c>
      <c r="J117">
        <f>14*Q117-K117</f>
        <v>334</v>
      </c>
      <c r="K117">
        <v>2</v>
      </c>
      <c r="L117" s="28">
        <f>_xlfn.XLOOKUP(G117,产品资料!C:C,产品资料!O:O)*J117</f>
        <v>205.76671200000001</v>
      </c>
      <c r="M117" s="31">
        <f>IFERROR(_xlfn.XLOOKUP(G117,产品资料!C:C,产品资料!L:L)*J117,0)</f>
        <v>593.18399999999997</v>
      </c>
      <c r="N117">
        <f>IFERROR(_xlfn.XLOOKUP(G117,产品资料!C:C,产品资料!M:M)*J117,0)</f>
        <v>2004</v>
      </c>
      <c r="O117" s="51"/>
      <c r="P117" s="23">
        <f>IF(ISNUMBER(SEARCH("合包",R117)),SUMIFS(J:J,G:G,G:G,F:F,F:F)-SUMIFS(打包记录!J:J,打包记录!G:G,G:G,打包记录!F:F,F:F),SUMIFS(J:J,D:D,D:D,G:G,G:G,F:F,F:F)-SUMIFS(打包记录!J:J,打包记录!D:D,D:D,打包记录!G:G,G:G,打包记录!F:F,F:F))</f>
        <v>4</v>
      </c>
      <c r="Q117">
        <v>24</v>
      </c>
    </row>
    <row r="118" spans="1:17" ht="14.25" customHeight="1" x14ac:dyDescent="0.15">
      <c r="A118">
        <v>114</v>
      </c>
      <c r="B118" s="21">
        <v>46251</v>
      </c>
      <c r="C118" t="s">
        <v>189</v>
      </c>
      <c r="D118" s="24" t="s">
        <v>182</v>
      </c>
      <c r="E118" t="s">
        <v>228</v>
      </c>
      <c r="F118">
        <v>39407267</v>
      </c>
      <c r="G118" t="s">
        <v>100</v>
      </c>
      <c r="H118" t="str">
        <f>_xlfn.XLOOKUP(G118,产品资料!C:C,产品资料!E:E)</f>
        <v>4609小抽斗(0.8MM)</v>
      </c>
      <c r="I118" s="23" t="str">
        <f>_xlfn.XLOOKUP(G118,产品资料!C:C,产品资料!F:F)</f>
        <v>0.8*418*603</v>
      </c>
      <c r="J118">
        <f>14*Q118-K118</f>
        <v>56</v>
      </c>
      <c r="L118" s="28">
        <f>_xlfn.XLOOKUP(G118,产品资料!C:C,产品资料!O:O)*J118</f>
        <v>88.067705599999982</v>
      </c>
      <c r="M118" s="31">
        <f>IFERROR(_xlfn.XLOOKUP(G118,产品资料!C:C,产品资料!L:L)*J118,0)</f>
        <v>116.98399999999999</v>
      </c>
      <c r="N118">
        <f>IFERROR(_xlfn.XLOOKUP(G118,产品资料!C:C,产品资料!M:M)*J118,0)</f>
        <v>672</v>
      </c>
      <c r="O118" s="51"/>
      <c r="P118" s="23">
        <f>IF(ISNUMBER(SEARCH("合包",R118)),SUMIFS(J:J,G:G,G:G,F:F,F:F)-SUMIFS(打包记录!J:J,打包记录!G:G,G:G,打包记录!F:F,F:F),SUMIFS(J:J,D:D,D:D,G:G,G:G,F:F,F:F)-SUMIFS(打包记录!J:J,打包记录!D:D,D:D,打包记录!G:G,G:G,打包记录!F:F,F:F))</f>
        <v>3</v>
      </c>
      <c r="Q118">
        <v>4</v>
      </c>
    </row>
    <row r="119" spans="1:17" ht="14.25" customHeight="1" x14ac:dyDescent="0.15">
      <c r="A119">
        <v>115</v>
      </c>
      <c r="B119" s="21">
        <v>46251</v>
      </c>
      <c r="C119" t="s">
        <v>189</v>
      </c>
      <c r="D119" s="24" t="s">
        <v>182</v>
      </c>
      <c r="E119" t="s">
        <v>228</v>
      </c>
      <c r="F119">
        <v>39407267</v>
      </c>
      <c r="G119" t="s">
        <v>110</v>
      </c>
      <c r="H119" t="str">
        <f>_xlfn.XLOOKUP(G119,产品资料!C:C,产品资料!E:E)</f>
        <v>4609中抽斗(0.8MM)</v>
      </c>
      <c r="I119" s="23" t="str">
        <f>_xlfn.XLOOKUP(G119,产品资料!C:C,产品资料!F:F)</f>
        <v>0.8*418*639</v>
      </c>
      <c r="J119">
        <f>14*Q119-K119</f>
        <v>56</v>
      </c>
      <c r="L119" s="28">
        <f>_xlfn.XLOOKUP(G119,产品资料!C:C,产品资料!O:O)*J119</f>
        <v>93.360489599999994</v>
      </c>
      <c r="M119" s="31">
        <f>IFERROR(_xlfn.XLOOKUP(G119,产品资料!C:C,产品资料!L:L)*J119,0)</f>
        <v>121.01600000000001</v>
      </c>
      <c r="N119">
        <f>IFERROR(_xlfn.XLOOKUP(G119,产品资料!C:C,产品资料!M:M)*J119,0)</f>
        <v>672</v>
      </c>
      <c r="O119" s="51"/>
      <c r="P119" s="23">
        <f>IF(ISNUMBER(SEARCH("合包",R119)),SUMIFS(J:J,G:G,G:G,F:F,F:F)-SUMIFS(打包记录!J:J,打包记录!G:G,G:G,打包记录!F:F,F:F),SUMIFS(J:J,D:D,D:D,G:G,G:G,F:F,F:F)-SUMIFS(打包记录!J:J,打包记录!D:D,D:D,打包记录!G:G,G:G,打包记录!F:F,F:F))</f>
        <v>2</v>
      </c>
      <c r="Q119">
        <v>4</v>
      </c>
    </row>
    <row r="120" spans="1:17" ht="14.25" customHeight="1" x14ac:dyDescent="0.15">
      <c r="A120">
        <v>116</v>
      </c>
      <c r="B120" s="21">
        <v>46251</v>
      </c>
      <c r="C120" t="s">
        <v>190</v>
      </c>
      <c r="D120" t="s">
        <v>179</v>
      </c>
      <c r="E120" t="s">
        <v>228</v>
      </c>
      <c r="F120">
        <v>39407267</v>
      </c>
      <c r="G120" t="s">
        <v>19</v>
      </c>
      <c r="H120" t="str">
        <f>_xlfn.XLOOKUP(G120,产品资料!C:C,产品资料!E:E)</f>
        <v xml:space="preserve">4609底盖小加强板（0.8MM ) </v>
      </c>
      <c r="I120" s="23" t="str">
        <f>_xlfn.XLOOKUP(G120,产品资料!C:C,产品资料!F:F)</f>
        <v>0.8*119*1162</v>
      </c>
      <c r="J120">
        <f>64*Q120-K120</f>
        <v>310</v>
      </c>
      <c r="K120">
        <v>10</v>
      </c>
      <c r="L120" s="28">
        <f>_xlfn.XLOOKUP(G120,产品资料!C:C,产品资料!O:O)*J120</f>
        <v>266.55585599999995</v>
      </c>
      <c r="M120" s="31">
        <f>IFERROR(_xlfn.XLOOKUP(G120,产品资料!C:C,产品资料!L:L)*J120,0)</f>
        <v>794.21999999999991</v>
      </c>
      <c r="N120">
        <f>IFERROR(_xlfn.XLOOKUP(G120,产品资料!C:C,产品资料!M:M)*J120,0)</f>
        <v>2480</v>
      </c>
      <c r="O120" s="51" t="s">
        <v>233</v>
      </c>
      <c r="P120" s="23">
        <f>IF(ISNUMBER(SEARCH("合包",R120)),SUMIFS(J:J,G:G,G:G,F:F,F:F)-SUMIFS(打包记录!J:J,打包记录!G:G,G:G,打包记录!F:F,F:F),SUMIFS(J:J,D:D,D:D,G:G,G:G,F:F,F:F)-SUMIFS(打包记录!J:J,打包记录!D:D,D:D,打包记录!G:G,G:G,打包记录!F:F,F:F))</f>
        <v>571</v>
      </c>
      <c r="Q120">
        <v>5</v>
      </c>
    </row>
    <row r="121" spans="1:17" ht="14.25" customHeight="1" x14ac:dyDescent="0.15">
      <c r="A121">
        <v>117</v>
      </c>
      <c r="B121" s="21">
        <v>46251</v>
      </c>
      <c r="C121" t="s">
        <v>190</v>
      </c>
      <c r="D121" t="s">
        <v>179</v>
      </c>
      <c r="E121" t="s">
        <v>228</v>
      </c>
      <c r="F121">
        <v>39407267</v>
      </c>
      <c r="G121" t="s">
        <v>40</v>
      </c>
      <c r="H121" t="str">
        <f>_xlfn.XLOOKUP(G121,产品资料!C:C,产品资料!E:E)</f>
        <v>4609底盖（0.8MM)</v>
      </c>
      <c r="I121" s="23" t="str">
        <f>_xlfn.XLOOKUP(G121,产品资料!C:C,产品资料!F:F)</f>
        <v>0.8*552.5*1211</v>
      </c>
      <c r="J121">
        <f>64*Q121-K121</f>
        <v>504</v>
      </c>
      <c r="K121">
        <v>8</v>
      </c>
      <c r="L121" s="28">
        <f>_xlfn.XLOOKUP(G121,产品资料!C:C,产品资料!O:O)*J121</f>
        <v>2094.8663232000004</v>
      </c>
      <c r="M121" s="31">
        <f>IFERROR(_xlfn.XLOOKUP(G121,产品资料!C:C,产品资料!L:L)*J121,0)</f>
        <v>1804.8240000000001</v>
      </c>
      <c r="N121">
        <f>IFERROR(_xlfn.XLOOKUP(G121,产品资料!C:C,产品资料!M:M)*J121,0)</f>
        <v>8064</v>
      </c>
      <c r="O121" s="51"/>
      <c r="P121" s="23">
        <f>IF(ISNUMBER(SEARCH("合包",R121)),SUMIFS(J:J,G:G,G:G,F:F,F:F)-SUMIFS(打包记录!J:J,打包记录!G:G,G:G,打包记录!F:F,F:F),SUMIFS(J:J,D:D,D:D,G:G,G:G,F:F,F:F)-SUMIFS(打包记录!J:J,打包记录!D:D,D:D,打包记录!G:G,G:G,打包记录!F:F,F:F))</f>
        <v>152</v>
      </c>
      <c r="Q121">
        <v>8</v>
      </c>
    </row>
    <row r="122" spans="1:17" ht="14.25" customHeight="1" x14ac:dyDescent="0.15">
      <c r="A122">
        <v>118</v>
      </c>
      <c r="B122" s="21">
        <v>46251</v>
      </c>
      <c r="C122" t="s">
        <v>190</v>
      </c>
      <c r="D122" t="s">
        <v>179</v>
      </c>
      <c r="E122" t="s">
        <v>228</v>
      </c>
      <c r="F122">
        <v>39407267</v>
      </c>
      <c r="G122" t="s">
        <v>65</v>
      </c>
      <c r="H122" t="str">
        <f>_xlfn.XLOOKUP(G122,产品资料!C:C,产品资料!E:E)</f>
        <v>4609中隔板(0.8MM)</v>
      </c>
      <c r="I122" s="23" t="str">
        <f>_xlfn.XLOOKUP(G122,产品资料!C:C,产品资料!F:F)</f>
        <v>0.8*481.5*550</v>
      </c>
      <c r="J122">
        <f>64*Q122-K122</f>
        <v>252</v>
      </c>
      <c r="K122">
        <v>4</v>
      </c>
      <c r="L122" s="28">
        <f>_xlfn.XLOOKUP(G122,产品资料!C:C,产品资料!O:O)*J122</f>
        <v>418.38138720000001</v>
      </c>
      <c r="M122" s="31">
        <f>IFERROR(_xlfn.XLOOKUP(G122,产品资料!C:C,产品资料!L:L)*J122,0)</f>
        <v>519.87600000000009</v>
      </c>
      <c r="N122">
        <f>IFERROR(_xlfn.XLOOKUP(G122,产品资料!C:C,产品资料!M:M)*J122,0)</f>
        <v>3780</v>
      </c>
      <c r="O122" s="51"/>
      <c r="P122" s="23">
        <f>IF(ISNUMBER(SEARCH("合包",R122)),SUMIFS(J:J,G:G,G:G,F:F,F:F)-SUMIFS(打包记录!J:J,打包记录!G:G,G:G,打包记录!F:F,F:F),SUMIFS(J:J,D:D,D:D,G:G,G:G,F:F,F:F)-SUMIFS(打包记录!J:J,打包记录!D:D,D:D,打包记录!G:G,G:G,打包记录!F:F,F:F))</f>
        <v>199</v>
      </c>
      <c r="Q122">
        <v>4</v>
      </c>
    </row>
    <row r="123" spans="1:17" ht="14.25" customHeight="1" x14ac:dyDescent="0.15">
      <c r="A123">
        <v>119</v>
      </c>
      <c r="B123" s="21">
        <v>46252</v>
      </c>
      <c r="C123" t="s">
        <v>189</v>
      </c>
      <c r="D123" s="24" t="s">
        <v>182</v>
      </c>
      <c r="E123" t="s">
        <v>228</v>
      </c>
      <c r="F123">
        <v>39407267</v>
      </c>
      <c r="G123" t="s">
        <v>120</v>
      </c>
      <c r="H123" t="str">
        <f>_xlfn.XLOOKUP(G123,产品资料!C:C,产品资料!E:E)</f>
        <v>4609大抽斗(0.8MM)</v>
      </c>
      <c r="I123" s="23" t="str">
        <f>_xlfn.XLOOKUP(G123,产品资料!C:C,产品资料!F:F)</f>
        <v>0.8*418*919</v>
      </c>
      <c r="J123">
        <f>35*Q123-K123</f>
        <v>840</v>
      </c>
      <c r="L123" s="28">
        <f>_xlfn.XLOOKUP(G123,产品资料!C:C,产品资料!O:O)*J123</f>
        <v>2017.3419839999997</v>
      </c>
      <c r="M123" s="31">
        <f>IFERROR(_xlfn.XLOOKUP(G123,产品资料!C:C,产品资料!L:L)*J123,0)</f>
        <v>2285.64</v>
      </c>
      <c r="N123">
        <f>IFERROR(_xlfn.XLOOKUP(G123,产品资料!C:C,产品资料!M:M)*J123,0)</f>
        <v>15120</v>
      </c>
      <c r="O123" s="51" t="s">
        <v>234</v>
      </c>
      <c r="P123" s="23">
        <f>IF(ISNUMBER(SEARCH("合包",R123)),SUMIFS(J:J,G:G,G:G,F:F,F:F)-SUMIFS(打包记录!J:J,打包记录!G:G,G:G,打包记录!F:F,F:F),SUMIFS(J:J,D:D,D:D,G:G,G:G,F:F,F:F)-SUMIFS(打包记录!J:J,打包记录!D:D,D:D,打包记录!G:G,G:G,打包记录!F:F,F:F))</f>
        <v>2</v>
      </c>
      <c r="Q123">
        <v>24</v>
      </c>
    </row>
    <row r="124" spans="1:17" ht="14.25" customHeight="1" x14ac:dyDescent="0.15">
      <c r="A124">
        <v>120</v>
      </c>
      <c r="B124" s="21">
        <v>46252</v>
      </c>
      <c r="C124" t="s">
        <v>189</v>
      </c>
      <c r="D124" s="24" t="s">
        <v>182</v>
      </c>
      <c r="E124" t="s">
        <v>228</v>
      </c>
      <c r="F124">
        <v>39407267</v>
      </c>
      <c r="G124" t="s">
        <v>115</v>
      </c>
      <c r="H124" t="str">
        <f>_xlfn.XLOOKUP(G124,产品资料!C:C,产品资料!E:E)</f>
        <v>4609中拉手(0.8MM）</v>
      </c>
      <c r="I124" s="23" t="str">
        <f>_xlfn.XLOOKUP(G124,产品资料!C:C,产品资料!F:F)</f>
        <v>0.8*155*515</v>
      </c>
      <c r="J124">
        <f>35*Q124-K124</f>
        <v>280</v>
      </c>
      <c r="L124" s="28">
        <f>_xlfn.XLOOKUP(G124,产品资料!C:C,产品资料!O:O)*J124</f>
        <v>139.757632</v>
      </c>
      <c r="M124" s="31">
        <f>IFERROR(_xlfn.XLOOKUP(G124,产品资料!C:C,产品资料!L:L)*J124,0)</f>
        <v>373.52000000000004</v>
      </c>
      <c r="N124">
        <f>IFERROR(_xlfn.XLOOKUP(G124,产品资料!C:C,产品资料!M:M)*J124,0)</f>
        <v>0</v>
      </c>
      <c r="O124" s="51"/>
      <c r="P124" s="23">
        <f>IF(ISNUMBER(SEARCH("合包",R124)),SUMIFS(J:J,G:G,G:G,F:F,F:F)-SUMIFS(打包记录!J:J,打包记录!G:G,G:G,打包记录!F:F,F:F),SUMIFS(J:J,D:D,D:D,G:G,G:G,F:F,F:F)-SUMIFS(打包记录!J:J,打包记录!D:D,D:D,打包记录!G:G,G:G,打包记录!F:F,F:F))</f>
        <v>10</v>
      </c>
      <c r="Q124">
        <v>8</v>
      </c>
    </row>
    <row r="125" spans="1:17" ht="14.25" customHeight="1" x14ac:dyDescent="0.15">
      <c r="A125">
        <v>121</v>
      </c>
      <c r="B125" s="21">
        <v>46252</v>
      </c>
      <c r="C125" t="s">
        <v>189</v>
      </c>
      <c r="D125" s="24" t="s">
        <v>182</v>
      </c>
      <c r="E125" t="s">
        <v>228</v>
      </c>
      <c r="F125">
        <v>39407267</v>
      </c>
      <c r="G125" t="s">
        <v>55</v>
      </c>
      <c r="H125" t="str">
        <f>_xlfn.XLOOKUP(G125,产品资料!C:C,产品资料!E:E)</f>
        <v>4609左内垫板(0.8MM)</v>
      </c>
      <c r="I125" s="23" t="str">
        <f>_xlfn.XLOOKUP(G125,产品资料!C:C,产品资料!F:F)</f>
        <v>0.8*152*662</v>
      </c>
      <c r="J125">
        <f>35*Q125-K125</f>
        <v>839</v>
      </c>
      <c r="K125">
        <v>1</v>
      </c>
      <c r="L125" s="28">
        <f>_xlfn.XLOOKUP(G125,产品资料!C:C,产品资料!O:O)*J125</f>
        <v>516.88105200000007</v>
      </c>
      <c r="M125" s="31">
        <f>IFERROR(_xlfn.XLOOKUP(G125,产品资料!C:C,产品资料!L:L)*J125,0)</f>
        <v>1490.0640000000001</v>
      </c>
      <c r="N125">
        <f>IFERROR(_xlfn.XLOOKUP(G125,产品资料!C:C,产品资料!M:M)*J125,0)</f>
        <v>5034</v>
      </c>
      <c r="O125" s="51"/>
      <c r="P125" s="23">
        <f>IF(ISNUMBER(SEARCH("合包",R125)),SUMIFS(J:J,G:G,G:G,F:F,F:F)-SUMIFS(打包记录!J:J,打包记录!G:G,G:G,打包记录!F:F,F:F),SUMIFS(J:J,D:D,D:D,G:G,G:G,F:F,F:F)-SUMIFS(打包记录!J:J,打包记录!D:D,D:D,打包记录!G:G,G:G,打包记录!F:F,F:F))</f>
        <v>4</v>
      </c>
      <c r="Q125">
        <v>24</v>
      </c>
    </row>
    <row r="126" spans="1:17" ht="14.25" customHeight="1" x14ac:dyDescent="0.15">
      <c r="A126">
        <v>122</v>
      </c>
      <c r="B126" s="21">
        <v>46252</v>
      </c>
      <c r="C126" t="s">
        <v>189</v>
      </c>
      <c r="D126" s="24" t="s">
        <v>182</v>
      </c>
      <c r="E126" t="s">
        <v>228</v>
      </c>
      <c r="F126">
        <v>39407267</v>
      </c>
      <c r="G126" t="s">
        <v>100</v>
      </c>
      <c r="H126" t="str">
        <f>_xlfn.XLOOKUP(G126,产品资料!C:C,产品资料!E:E)</f>
        <v>4609小抽斗(0.8MM)</v>
      </c>
      <c r="I126" s="23" t="str">
        <f>_xlfn.XLOOKUP(G126,产品资料!C:C,产品资料!F:F)</f>
        <v>0.8*418*603</v>
      </c>
      <c r="J126">
        <f>35*Q126-K126</f>
        <v>140</v>
      </c>
      <c r="L126" s="28">
        <f>_xlfn.XLOOKUP(G126,产品资料!C:C,产品资料!O:O)*J126</f>
        <v>220.16926399999997</v>
      </c>
      <c r="M126" s="31">
        <f>IFERROR(_xlfn.XLOOKUP(G126,产品资料!C:C,产品资料!L:L)*J126,0)</f>
        <v>292.45999999999998</v>
      </c>
      <c r="N126">
        <f>IFERROR(_xlfn.XLOOKUP(G126,产品资料!C:C,产品资料!M:M)*J126,0)</f>
        <v>1680</v>
      </c>
      <c r="O126" s="51"/>
      <c r="P126" s="23">
        <f>IF(ISNUMBER(SEARCH("合包",R126)),SUMIFS(J:J,G:G,G:G,F:F,F:F)-SUMIFS(打包记录!J:J,打包记录!G:G,G:G,打包记录!F:F,F:F),SUMIFS(J:J,D:D,D:D,G:G,G:G,F:F,F:F)-SUMIFS(打包记录!J:J,打包记录!D:D,D:D,打包记录!G:G,G:G,打包记录!F:F,F:F))</f>
        <v>3</v>
      </c>
      <c r="Q126">
        <v>4</v>
      </c>
    </row>
    <row r="127" spans="1:17" ht="14.25" customHeight="1" x14ac:dyDescent="0.15">
      <c r="A127">
        <v>123</v>
      </c>
      <c r="B127" s="21">
        <v>46252</v>
      </c>
      <c r="C127" t="s">
        <v>189</v>
      </c>
      <c r="D127" s="24" t="s">
        <v>182</v>
      </c>
      <c r="E127" t="s">
        <v>228</v>
      </c>
      <c r="F127">
        <v>39407267</v>
      </c>
      <c r="G127" t="s">
        <v>110</v>
      </c>
      <c r="H127" t="str">
        <f>_xlfn.XLOOKUP(G127,产品资料!C:C,产品资料!E:E)</f>
        <v>4609中抽斗(0.8MM)</v>
      </c>
      <c r="I127" s="23" t="str">
        <f>_xlfn.XLOOKUP(G127,产品资料!C:C,产品资料!F:F)</f>
        <v>0.8*418*639</v>
      </c>
      <c r="J127">
        <f>35*Q127-K127</f>
        <v>140</v>
      </c>
      <c r="L127" s="28">
        <f>_xlfn.XLOOKUP(G127,产品资料!C:C,产品资料!O:O)*J127</f>
        <v>233.40122399999998</v>
      </c>
      <c r="M127" s="31">
        <f>IFERROR(_xlfn.XLOOKUP(G127,产品资料!C:C,产品资料!L:L)*J127,0)</f>
        <v>302.54000000000002</v>
      </c>
      <c r="N127">
        <f>IFERROR(_xlfn.XLOOKUP(G127,产品资料!C:C,产品资料!M:M)*J127,0)</f>
        <v>1680</v>
      </c>
      <c r="O127" s="51"/>
      <c r="P127" s="23">
        <f>IF(ISNUMBER(SEARCH("合包",R127)),SUMIFS(J:J,G:G,G:G,F:F,F:F)-SUMIFS(打包记录!J:J,打包记录!G:G,G:G,打包记录!F:F,F:F),SUMIFS(J:J,D:D,D:D,G:G,G:G,F:F,F:F)-SUMIFS(打包记录!J:J,打包记录!D:D,D:D,打包记录!G:G,G:G,打包记录!F:F,F:F))</f>
        <v>2</v>
      </c>
      <c r="Q127">
        <v>4</v>
      </c>
    </row>
    <row r="128" spans="1:17" ht="14.25" customHeight="1" x14ac:dyDescent="0.15">
      <c r="A128">
        <v>124</v>
      </c>
      <c r="B128" s="21">
        <v>46252</v>
      </c>
      <c r="C128" t="s">
        <v>189</v>
      </c>
      <c r="D128" s="24" t="s">
        <v>182</v>
      </c>
      <c r="E128" t="s">
        <v>228</v>
      </c>
      <c r="F128">
        <v>39407267</v>
      </c>
      <c r="G128" t="s">
        <v>25</v>
      </c>
      <c r="H128" t="str">
        <f>_xlfn.XLOOKUP(G128,产品资料!C:C,产品资料!E:E)</f>
        <v>4609底盖大加强板(0.8MM)</v>
      </c>
      <c r="I128" s="23" t="str">
        <f>_xlfn.XLOOKUP(G128,产品资料!C:C,产品资料!F:F)</f>
        <v>0.8*172*1162</v>
      </c>
      <c r="J128">
        <f>15*Q128-K128</f>
        <v>53</v>
      </c>
      <c r="K128">
        <v>7</v>
      </c>
      <c r="L128" s="28">
        <f>_xlfn.XLOOKUP(G128,产品资料!C:C,产品资料!O:O)*J128</f>
        <v>66.078725200000008</v>
      </c>
      <c r="M128" s="31">
        <f>IFERROR(_xlfn.XLOOKUP(G128,产品资料!C:C,产品资料!L:L)*J128,0)</f>
        <v>141.404</v>
      </c>
      <c r="N128">
        <f>IFERROR(_xlfn.XLOOKUP(G128,产品资料!C:C,产品资料!M:M)*J128,0)</f>
        <v>424</v>
      </c>
      <c r="O128" s="51" t="s">
        <v>235</v>
      </c>
      <c r="P128" s="23">
        <f>IF(ISNUMBER(SEARCH("合包",R128)),SUMIFS(J:J,G:G,G:G,F:F,F:F)-SUMIFS(打包记录!J:J,打包记录!G:G,G:G,打包记录!F:F,F:F),SUMIFS(J:J,D:D,D:D,G:G,G:G,F:F,F:F)-SUMIFS(打包记录!J:J,打包记录!D:D,D:D,打包记录!G:G,G:G,打包记录!F:F,F:F))</f>
        <v>2</v>
      </c>
      <c r="Q128">
        <v>4</v>
      </c>
    </row>
    <row r="129" spans="1:17" ht="14.25" customHeight="1" x14ac:dyDescent="0.15">
      <c r="A129">
        <v>125</v>
      </c>
      <c r="B129" s="21">
        <v>46252</v>
      </c>
      <c r="C129" t="s">
        <v>189</v>
      </c>
      <c r="D129" s="24" t="s">
        <v>182</v>
      </c>
      <c r="E129" t="s">
        <v>228</v>
      </c>
      <c r="F129">
        <v>39407267</v>
      </c>
      <c r="G129" t="s">
        <v>35</v>
      </c>
      <c r="H129" t="str">
        <f>_xlfn.XLOOKUP(G129,产品资料!C:C,产品资料!E:E)</f>
        <v>4609顶盖（0.8MM)</v>
      </c>
      <c r="I129" s="23" t="str">
        <f>_xlfn.XLOOKUP(G129,产品资料!C:C,产品资料!F:F)</f>
        <v>0.8*552*1168.5</v>
      </c>
      <c r="J129">
        <f>15*Q129-K129</f>
        <v>60</v>
      </c>
      <c r="L129" s="28">
        <f>_xlfn.XLOOKUP(G129,产品资料!C:C,产品资料!O:O)*J129</f>
        <v>242.53485599999999</v>
      </c>
      <c r="M129" s="31">
        <f>IFERROR(_xlfn.XLOOKUP(G129,产品资料!C:C,产品资料!L:L)*J129,0)</f>
        <v>205.14000000000001</v>
      </c>
      <c r="N129">
        <f>IFERROR(_xlfn.XLOOKUP(G129,产品资料!C:C,产品资料!M:M)*J129,0)</f>
        <v>1140</v>
      </c>
      <c r="O129" s="51"/>
      <c r="P129" s="23">
        <f>IF(ISNUMBER(SEARCH("合包",R129)),SUMIFS(J:J,G:G,G:G,F:F,F:F)-SUMIFS(打包记录!J:J,打包记录!G:G,G:G,打包记录!F:F,F:F),SUMIFS(J:J,D:D,D:D,G:G,G:G,F:F,F:F)-SUMIFS(打包记录!J:J,打包记录!D:D,D:D,打包记录!G:G,G:G,打包记录!F:F,F:F))</f>
        <v>5</v>
      </c>
      <c r="Q129">
        <v>4</v>
      </c>
    </row>
    <row r="130" spans="1:17" ht="14.25" customHeight="1" x14ac:dyDescent="0.15">
      <c r="A130">
        <v>126</v>
      </c>
      <c r="B130" s="21">
        <v>46252</v>
      </c>
      <c r="C130" t="s">
        <v>189</v>
      </c>
      <c r="D130" s="24" t="s">
        <v>182</v>
      </c>
      <c r="E130" t="s">
        <v>228</v>
      </c>
      <c r="F130">
        <v>39407267</v>
      </c>
      <c r="G130" t="s">
        <v>105</v>
      </c>
      <c r="H130" t="str">
        <f>_xlfn.XLOOKUP(G130,产品资料!C:C,产品资料!E:E)</f>
        <v>4609小拉手(0.8MM）</v>
      </c>
      <c r="I130" s="23" t="str">
        <f>_xlfn.XLOOKUP(G130,产品资料!C:C,产品资料!F:F)</f>
        <v>0.8*142*515</v>
      </c>
      <c r="J130">
        <f>15*Q130-K130</f>
        <v>877</v>
      </c>
      <c r="K130">
        <v>23</v>
      </c>
      <c r="L130" s="28">
        <f>_xlfn.XLOOKUP(G130,产品资料!C:C,产品资料!O:O)*J130</f>
        <v>400.89529239999996</v>
      </c>
      <c r="M130" s="31">
        <f>IFERROR(_xlfn.XLOOKUP(G130,产品资料!C:C,产品资料!L:L)*J130,0)</f>
        <v>1147.116</v>
      </c>
      <c r="N130">
        <f>IFERROR(_xlfn.XLOOKUP(G130,产品资料!C:C,产品资料!M:M)*J130,0)</f>
        <v>0</v>
      </c>
      <c r="O130" s="51"/>
      <c r="P130" s="23">
        <f>IF(ISNUMBER(SEARCH("合包",R130)),SUMIFS(J:J,G:G,G:G,F:F,F:F)-SUMIFS(打包记录!J:J,打包记录!G:G,G:G,打包记录!F:F,F:F),SUMIFS(J:J,D:D,D:D,G:G,G:G,F:F,F:F)-SUMIFS(打包记录!J:J,打包记录!D:D,D:D,打包记录!G:G,G:G,打包记录!F:F,F:F))</f>
        <v>4</v>
      </c>
      <c r="Q130">
        <v>60</v>
      </c>
    </row>
    <row r="131" spans="1:17" ht="14.25" customHeight="1" x14ac:dyDescent="0.15">
      <c r="A131">
        <v>127</v>
      </c>
      <c r="B131" s="21">
        <v>46252</v>
      </c>
      <c r="C131" t="s">
        <v>189</v>
      </c>
      <c r="D131" s="24" t="s">
        <v>182</v>
      </c>
      <c r="E131" t="s">
        <v>228</v>
      </c>
      <c r="F131">
        <v>39407267</v>
      </c>
      <c r="G131" t="s">
        <v>125</v>
      </c>
      <c r="H131" t="str">
        <f>_xlfn.XLOOKUP(G131,产品资料!C:C,产品资料!E:E)</f>
        <v>4609大拉手(0.8MM）</v>
      </c>
      <c r="I131" s="23" t="str">
        <f>_xlfn.XLOOKUP(G131,产品资料!C:C,产品资料!F:F)</f>
        <v>0.8*303*515</v>
      </c>
      <c r="J131">
        <f>15*Q131-K131</f>
        <v>523</v>
      </c>
      <c r="K131">
        <v>17</v>
      </c>
      <c r="L131" s="28">
        <f>_xlfn.XLOOKUP(G131,产品资料!C:C,产品资料!O:O)*J131</f>
        <v>511.38730800000002</v>
      </c>
      <c r="M131" s="31">
        <f>IFERROR(_xlfn.XLOOKUP(G131,产品资料!C:C,产品资料!L:L)*J131,0)</f>
        <v>852.4899999999999</v>
      </c>
      <c r="N131">
        <f>IFERROR(_xlfn.XLOOKUP(G131,产品资料!C:C,产品资料!M:M)*J131,0)</f>
        <v>0</v>
      </c>
      <c r="O131" s="51"/>
      <c r="P131" s="23">
        <f>IF(ISNUMBER(SEARCH("合包",R131)),SUMIFS(J:J,G:G,G:G,F:F,F:F)-SUMIFS(打包记录!J:J,打包记录!G:G,G:G,打包记录!F:F,F:F),SUMIFS(J:J,D:D,D:D,G:G,G:G,F:F,F:F)-SUMIFS(打包记录!J:J,打包记录!D:D,D:D,打包记录!G:G,G:G,打包记录!F:F,F:F))</f>
        <v>3</v>
      </c>
      <c r="Q131">
        <v>36</v>
      </c>
    </row>
    <row r="132" spans="1:17" ht="14.25" customHeight="1" x14ac:dyDescent="0.15">
      <c r="A132">
        <v>128</v>
      </c>
      <c r="B132" s="21">
        <v>46252</v>
      </c>
      <c r="C132" t="s">
        <v>189</v>
      </c>
      <c r="D132" s="24" t="s">
        <v>182</v>
      </c>
      <c r="E132" t="s">
        <v>228</v>
      </c>
      <c r="F132">
        <v>39407267</v>
      </c>
      <c r="G132" t="s">
        <v>50</v>
      </c>
      <c r="H132" t="str">
        <f>_xlfn.XLOOKUP(G132,产品资料!C:C,产品资料!E:E)</f>
        <v>4609后盖板(0.8MM)</v>
      </c>
      <c r="I132" s="23" t="str">
        <f>_xlfn.XLOOKUP(G132,产品资料!C:C,产品资料!F:F)</f>
        <v>0.8*770.5*1168.5</v>
      </c>
      <c r="J132">
        <f>3*Q132-K132</f>
        <v>24</v>
      </c>
      <c r="L132" s="28">
        <f>_xlfn.XLOOKUP(G132,产品资料!C:C,产品资料!O:O)*J132</f>
        <v>135.678144</v>
      </c>
      <c r="M132" s="31">
        <f>IFERROR(_xlfn.XLOOKUP(G132,产品资料!C:C,产品资料!L:L)*J132,0)</f>
        <v>93.072000000000003</v>
      </c>
      <c r="N132">
        <f>IFERROR(_xlfn.XLOOKUP(G132,产品资料!C:C,产品资料!M:M)*J132,0)</f>
        <v>144</v>
      </c>
      <c r="O132" s="51" t="s">
        <v>236</v>
      </c>
      <c r="P132" s="23">
        <f>IF(ISNUMBER(SEARCH("合包",R132)),SUMIFS(J:J,G:G,G:G,F:F,F:F)-SUMIFS(打包记录!J:J,打包记录!G:G,G:G,打包记录!F:F,F:F),SUMIFS(J:J,D:D,D:D,G:G,G:G,F:F,F:F)-SUMIFS(打包记录!J:J,打包记录!D:D,D:D,打包记录!G:G,G:G,打包记录!F:F,F:F))</f>
        <v>27</v>
      </c>
      <c r="Q132">
        <v>8</v>
      </c>
    </row>
    <row r="133" spans="1:17" ht="14.25" customHeight="1" x14ac:dyDescent="0.15">
      <c r="A133">
        <v>129</v>
      </c>
      <c r="B133" s="21">
        <v>46252</v>
      </c>
      <c r="C133" t="s">
        <v>189</v>
      </c>
      <c r="D133" s="24" t="s">
        <v>182</v>
      </c>
      <c r="E133" t="s">
        <v>228</v>
      </c>
      <c r="F133">
        <v>39407267</v>
      </c>
      <c r="G133" t="s">
        <v>115</v>
      </c>
      <c r="H133" t="str">
        <f>_xlfn.XLOOKUP(G133,产品资料!C:C,产品资料!E:E)</f>
        <v>4609中拉手(0.8MM）</v>
      </c>
      <c r="I133" s="23" t="str">
        <f>_xlfn.XLOOKUP(G133,产品资料!C:C,产品资料!F:F)</f>
        <v>0.8*155*515</v>
      </c>
      <c r="J133">
        <f>3*Q133-K133</f>
        <v>72</v>
      </c>
      <c r="L133" s="28">
        <f>_xlfn.XLOOKUP(G133,产品资料!C:C,产品资料!O:O)*J133</f>
        <v>35.937676799999998</v>
      </c>
      <c r="M133" s="31">
        <f>IFERROR(_xlfn.XLOOKUP(G133,产品资料!C:C,产品资料!L:L)*J133,0)</f>
        <v>96.048000000000002</v>
      </c>
      <c r="N133">
        <f>IFERROR(_xlfn.XLOOKUP(G133,产品资料!C:C,产品资料!M:M)*J133,0)</f>
        <v>0</v>
      </c>
      <c r="O133" s="51"/>
      <c r="P133" s="23">
        <f>IF(ISNUMBER(SEARCH("合包",R133)),SUMIFS(J:J,G:G,G:G,F:F,F:F)-SUMIFS(打包记录!J:J,打包记录!G:G,G:G,打包记录!F:F,F:F),SUMIFS(J:J,D:D,D:D,G:G,G:G,F:F,F:F)-SUMIFS(打包记录!J:J,打包记录!D:D,D:D,打包记录!G:G,G:G,打包记录!F:F,F:F))</f>
        <v>10</v>
      </c>
      <c r="Q133">
        <v>24</v>
      </c>
    </row>
    <row r="134" spans="1:17" ht="14.25" customHeight="1" x14ac:dyDescent="0.15">
      <c r="A134">
        <v>130</v>
      </c>
      <c r="B134" s="21">
        <v>46252</v>
      </c>
      <c r="C134" t="s">
        <v>189</v>
      </c>
      <c r="D134" s="24" t="s">
        <v>182</v>
      </c>
      <c r="E134" t="s">
        <v>228</v>
      </c>
      <c r="F134">
        <v>39407267</v>
      </c>
      <c r="G134" t="s">
        <v>55</v>
      </c>
      <c r="H134" t="str">
        <f>_xlfn.XLOOKUP(G134,产品资料!C:C,产品资料!E:E)</f>
        <v>4609左内垫板(0.8MM)</v>
      </c>
      <c r="I134" s="23" t="str">
        <f>_xlfn.XLOOKUP(G134,产品资料!C:C,产品资料!F:F)</f>
        <v>0.8*152*662</v>
      </c>
      <c r="J134">
        <f>3*Q134-K134</f>
        <v>72</v>
      </c>
      <c r="L134" s="28">
        <f>_xlfn.XLOOKUP(G134,产品资料!C:C,产品资料!O:O)*J134</f>
        <v>44.356896000000006</v>
      </c>
      <c r="M134" s="31">
        <f>IFERROR(_xlfn.XLOOKUP(G134,产品资料!C:C,产品资料!L:L)*J134,0)</f>
        <v>127.872</v>
      </c>
      <c r="N134">
        <f>IFERROR(_xlfn.XLOOKUP(G134,产品资料!C:C,产品资料!M:M)*J134,0)</f>
        <v>432</v>
      </c>
      <c r="O134" s="51"/>
      <c r="P134" s="23">
        <f>IF(ISNUMBER(SEARCH("合包",R134)),SUMIFS(J:J,G:G,G:G,F:F,F:F)-SUMIFS(打包记录!J:J,打包记录!G:G,G:G,打包记录!F:F,F:F),SUMIFS(J:J,D:D,D:D,G:G,G:G,F:F,F:F)-SUMIFS(打包记录!J:J,打包记录!D:D,D:D,打包记录!G:G,G:G,打包记录!F:F,F:F))</f>
        <v>4</v>
      </c>
      <c r="Q134">
        <v>24</v>
      </c>
    </row>
    <row r="135" spans="1:17" ht="14.25" customHeight="1" x14ac:dyDescent="0.15">
      <c r="A135">
        <v>131</v>
      </c>
      <c r="B135" s="21">
        <v>46252</v>
      </c>
      <c r="C135" t="s">
        <v>189</v>
      </c>
      <c r="D135" s="24" t="s">
        <v>182</v>
      </c>
      <c r="E135" t="s">
        <v>228</v>
      </c>
      <c r="F135">
        <v>39407267</v>
      </c>
      <c r="G135" t="s">
        <v>60</v>
      </c>
      <c r="H135" t="str">
        <f>_xlfn.XLOOKUP(G135,产品资料!C:C,产品资料!E:E)</f>
        <v>4609后内垫板大槽(0.8MM)</v>
      </c>
      <c r="I135" s="23" t="str">
        <f>_xlfn.XLOOKUP(G135,产品资料!C:C,产品资料!F:F)</f>
        <v>0.8*145*754.5</v>
      </c>
      <c r="J135">
        <f>5*Q135-K135</f>
        <v>80</v>
      </c>
      <c r="L135" s="28">
        <f>_xlfn.XLOOKUP(G135,产品资料!C:C,产品资料!O:O)*J135</f>
        <v>54.922367999999999</v>
      </c>
      <c r="M135" s="31">
        <f>IFERROR(_xlfn.XLOOKUP(G135,产品资料!C:C,产品资料!L:L)*J135,0)</f>
        <v>143.91999999999999</v>
      </c>
      <c r="N135">
        <f>IFERROR(_xlfn.XLOOKUP(G135,产品资料!C:C,产品资料!M:M)*J135,0)</f>
        <v>480</v>
      </c>
      <c r="O135" s="51" t="s">
        <v>237</v>
      </c>
      <c r="P135" s="23">
        <f>IF(ISNUMBER(SEARCH("合包",R135)),SUMIFS(J:J,G:G,G:G,F:F,F:F)-SUMIFS(打包记录!J:J,打包记录!G:G,G:G,打包记录!F:F,F:F),SUMIFS(J:J,D:D,D:D,G:G,G:G,F:F,F:F)-SUMIFS(打包记录!J:J,打包记录!D:D,D:D,打包记录!G:G,G:G,打包记录!F:F,F:F))</f>
        <v>4</v>
      </c>
      <c r="Q135">
        <v>16</v>
      </c>
    </row>
    <row r="136" spans="1:17" ht="14.25" customHeight="1" x14ac:dyDescent="0.15">
      <c r="A136">
        <v>132</v>
      </c>
      <c r="B136" s="21">
        <v>46252</v>
      </c>
      <c r="C136" t="s">
        <v>189</v>
      </c>
      <c r="D136" s="24" t="s">
        <v>182</v>
      </c>
      <c r="E136" t="s">
        <v>228</v>
      </c>
      <c r="F136">
        <v>39407267</v>
      </c>
      <c r="G136" t="s">
        <v>100</v>
      </c>
      <c r="H136" t="str">
        <f>_xlfn.XLOOKUP(G136,产品资料!C:C,产品资料!E:E)</f>
        <v>4609小抽斗(0.8MM)</v>
      </c>
      <c r="I136" s="23" t="str">
        <f>_xlfn.XLOOKUP(G136,产品资料!C:C,产品资料!F:F)</f>
        <v>0.8*418*603</v>
      </c>
      <c r="J136">
        <f>5*Q136-K136</f>
        <v>60</v>
      </c>
      <c r="L136" s="28">
        <f>_xlfn.XLOOKUP(G136,产品资料!C:C,产品资料!O:O)*J136</f>
        <v>94.358255999999983</v>
      </c>
      <c r="M136" s="31">
        <f>IFERROR(_xlfn.XLOOKUP(G136,产品资料!C:C,产品资料!L:L)*J136,0)</f>
        <v>125.34</v>
      </c>
      <c r="N136">
        <f>IFERROR(_xlfn.XLOOKUP(G136,产品资料!C:C,产品资料!M:M)*J136,0)</f>
        <v>720</v>
      </c>
      <c r="O136" s="51"/>
      <c r="P136" s="23">
        <f>IF(ISNUMBER(SEARCH("合包",R136)),SUMIFS(J:J,G:G,G:G,F:F,F:F)-SUMIFS(打包记录!J:J,打包记录!G:G,G:G,打包记录!F:F,F:F),SUMIFS(J:J,D:D,D:D,G:G,G:G,F:F,F:F)-SUMIFS(打包记录!J:J,打包记录!D:D,D:D,打包记录!G:G,G:G,打包记录!F:F,F:F))</f>
        <v>3</v>
      </c>
      <c r="Q136">
        <v>12</v>
      </c>
    </row>
    <row r="137" spans="1:17" ht="14.25" customHeight="1" x14ac:dyDescent="0.15">
      <c r="A137">
        <v>133</v>
      </c>
      <c r="B137" s="21">
        <v>46252</v>
      </c>
      <c r="C137" t="s">
        <v>189</v>
      </c>
      <c r="D137" s="24" t="s">
        <v>182</v>
      </c>
      <c r="E137" t="s">
        <v>228</v>
      </c>
      <c r="F137">
        <v>39407267</v>
      </c>
      <c r="G137" t="s">
        <v>105</v>
      </c>
      <c r="H137" t="str">
        <f>_xlfn.XLOOKUP(G137,产品资料!C:C,产品资料!E:E)</f>
        <v>4609小拉手(0.8MM）</v>
      </c>
      <c r="I137" s="23" t="str">
        <f>_xlfn.XLOOKUP(G137,产品资料!C:C,产品资料!F:F)</f>
        <v>0.8*142*515</v>
      </c>
      <c r="J137">
        <f>5*Q137-K137</f>
        <v>180</v>
      </c>
      <c r="L137" s="28">
        <f>_xlfn.XLOOKUP(G137,产品资料!C:C,产品资料!O:O)*J137</f>
        <v>82.281815999999992</v>
      </c>
      <c r="M137" s="31">
        <f>IFERROR(_xlfn.XLOOKUP(G137,产品资料!C:C,产品资料!L:L)*J137,0)</f>
        <v>235.44</v>
      </c>
      <c r="N137">
        <f>IFERROR(_xlfn.XLOOKUP(G137,产品资料!C:C,产品资料!M:M)*J137,0)</f>
        <v>0</v>
      </c>
      <c r="O137" s="51"/>
      <c r="P137" s="23">
        <f>IF(ISNUMBER(SEARCH("合包",R137)),SUMIFS(J:J,G:G,G:G,F:F,F:F)-SUMIFS(打包记录!J:J,打包记录!G:G,G:G,打包记录!F:F,F:F),SUMIFS(J:J,D:D,D:D,G:G,G:G,F:F,F:F)-SUMIFS(打包记录!J:J,打包记录!D:D,D:D,打包记录!G:G,G:G,打包记录!F:F,F:F))</f>
        <v>4</v>
      </c>
      <c r="Q137">
        <v>36</v>
      </c>
    </row>
    <row r="138" spans="1:17" ht="14.25" customHeight="1" x14ac:dyDescent="0.15">
      <c r="A138">
        <v>134</v>
      </c>
      <c r="B138" s="21">
        <v>46252</v>
      </c>
      <c r="C138" t="s">
        <v>189</v>
      </c>
      <c r="D138" s="24" t="s">
        <v>182</v>
      </c>
      <c r="E138" t="s">
        <v>228</v>
      </c>
      <c r="F138">
        <v>39407267</v>
      </c>
      <c r="G138" t="s">
        <v>110</v>
      </c>
      <c r="H138" t="str">
        <f>_xlfn.XLOOKUP(G138,产品资料!C:C,产品资料!E:E)</f>
        <v>4609中抽斗(0.8MM)</v>
      </c>
      <c r="I138" s="23" t="str">
        <f>_xlfn.XLOOKUP(G138,产品资料!C:C,产品资料!F:F)</f>
        <v>0.8*418*639</v>
      </c>
      <c r="J138">
        <f>5*Q138-K138</f>
        <v>60</v>
      </c>
      <c r="L138" s="28">
        <f>_xlfn.XLOOKUP(G138,产品资料!C:C,产品资料!O:O)*J138</f>
        <v>100.029096</v>
      </c>
      <c r="M138" s="31">
        <f>IFERROR(_xlfn.XLOOKUP(G138,产品资料!C:C,产品资料!L:L)*J138,0)</f>
        <v>129.66</v>
      </c>
      <c r="N138">
        <f>IFERROR(_xlfn.XLOOKUP(G138,产品资料!C:C,产品资料!M:M)*J138,0)</f>
        <v>720</v>
      </c>
      <c r="O138" s="51"/>
      <c r="P138" s="23">
        <f>IF(ISNUMBER(SEARCH("合包",R138)),SUMIFS(J:J,G:G,G:G,F:F,F:F)-SUMIFS(打包记录!J:J,打包记录!G:G,G:G,打包记录!F:F,F:F),SUMIFS(J:J,D:D,D:D,G:G,G:G,F:F,F:F)-SUMIFS(打包记录!J:J,打包记录!D:D,D:D,打包记录!G:G,G:G,打包记录!F:F,F:F))</f>
        <v>2</v>
      </c>
      <c r="Q138">
        <v>12</v>
      </c>
    </row>
    <row r="139" spans="1:17" ht="14.25" customHeight="1" x14ac:dyDescent="0.15">
      <c r="A139">
        <v>135</v>
      </c>
      <c r="B139" s="21">
        <v>46252</v>
      </c>
      <c r="C139" t="s">
        <v>189</v>
      </c>
      <c r="D139" s="24" t="s">
        <v>182</v>
      </c>
      <c r="E139" t="s">
        <v>228</v>
      </c>
      <c r="F139">
        <v>39407267</v>
      </c>
      <c r="G139" t="s">
        <v>125</v>
      </c>
      <c r="H139" t="str">
        <f>_xlfn.XLOOKUP(G139,产品资料!C:C,产品资料!E:E)</f>
        <v>4609大拉手(0.8MM）</v>
      </c>
      <c r="I139" s="23" t="str">
        <f>_xlfn.XLOOKUP(G139,产品资料!C:C,产品资料!F:F)</f>
        <v>0.8*303*515</v>
      </c>
      <c r="J139">
        <f>5*Q139-K139</f>
        <v>100</v>
      </c>
      <c r="L139" s="28">
        <f>_xlfn.XLOOKUP(G139,产品资料!C:C,产品资料!O:O)*J139</f>
        <v>97.779600000000002</v>
      </c>
      <c r="M139" s="31">
        <f>IFERROR(_xlfn.XLOOKUP(G139,产品资料!C:C,产品资料!L:L)*J139,0)</f>
        <v>163</v>
      </c>
      <c r="N139">
        <f>IFERROR(_xlfn.XLOOKUP(G139,产品资料!C:C,产品资料!M:M)*J139,0)</f>
        <v>0</v>
      </c>
      <c r="O139" s="51"/>
      <c r="P139" s="23">
        <f>IF(ISNUMBER(SEARCH("合包",R139)),SUMIFS(J:J,G:G,G:G,F:F,F:F)-SUMIFS(打包记录!J:J,打包记录!G:G,G:G,打包记录!F:F,F:F),SUMIFS(J:J,D:D,D:D,G:G,G:G,F:F,F:F)-SUMIFS(打包记录!J:J,打包记录!D:D,D:D,打包记录!G:G,G:G,打包记录!F:F,F:F))</f>
        <v>3</v>
      </c>
      <c r="Q139">
        <v>20</v>
      </c>
    </row>
    <row r="140" spans="1:17" ht="14.25" customHeight="1" x14ac:dyDescent="0.15">
      <c r="A140">
        <v>136</v>
      </c>
      <c r="B140" s="21">
        <v>46252</v>
      </c>
      <c r="C140" t="s">
        <v>189</v>
      </c>
      <c r="D140" s="24" t="s">
        <v>182</v>
      </c>
      <c r="E140" t="s">
        <v>228</v>
      </c>
      <c r="F140">
        <v>39407267</v>
      </c>
      <c r="G140" t="s">
        <v>100</v>
      </c>
      <c r="H140" t="str">
        <f>_xlfn.XLOOKUP(G140,产品资料!C:C,产品资料!E:E)</f>
        <v>4609小抽斗(0.8MM)</v>
      </c>
      <c r="I140" s="23" t="str">
        <f>_xlfn.XLOOKUP(G140,产品资料!C:C,产品资料!F:F)</f>
        <v>0.8*418*603</v>
      </c>
      <c r="J140">
        <f>9*Q140-K140</f>
        <v>252</v>
      </c>
      <c r="L140" s="28">
        <f>_xlfn.XLOOKUP(G140,产品资料!C:C,产品资料!O:O)*J140</f>
        <v>396.30467519999996</v>
      </c>
      <c r="M140" s="31">
        <f>IFERROR(_xlfn.XLOOKUP(G140,产品资料!C:C,产品资料!L:L)*J140,0)</f>
        <v>526.428</v>
      </c>
      <c r="N140">
        <f>IFERROR(_xlfn.XLOOKUP(G140,产品资料!C:C,产品资料!M:M)*J140,0)</f>
        <v>3024</v>
      </c>
      <c r="O140" s="52" t="s">
        <v>238</v>
      </c>
      <c r="P140" s="23">
        <f>IF(ISNUMBER(SEARCH("合包",R140)),SUMIFS(J:J,G:G,G:G,F:F,F:F)-SUMIFS(打包记录!J:J,打包记录!G:G,G:G,打包记录!F:F,F:F),SUMIFS(J:J,D:D,D:D,G:G,G:G,F:F,F:F)-SUMIFS(打包记录!J:J,打包记录!D:D,D:D,打包记录!G:G,G:G,打包记录!F:F,F:F))</f>
        <v>3</v>
      </c>
      <c r="Q140">
        <v>28</v>
      </c>
    </row>
    <row r="141" spans="1:17" ht="14.25" customHeight="1" x14ac:dyDescent="0.15">
      <c r="A141">
        <v>137</v>
      </c>
      <c r="B141" s="21">
        <v>46252</v>
      </c>
      <c r="C141" t="s">
        <v>189</v>
      </c>
      <c r="D141" s="24" t="s">
        <v>182</v>
      </c>
      <c r="E141" t="s">
        <v>228</v>
      </c>
      <c r="F141">
        <v>39407267</v>
      </c>
      <c r="G141" t="s">
        <v>110</v>
      </c>
      <c r="H141" t="str">
        <f>_xlfn.XLOOKUP(G141,产品资料!C:C,产品资料!E:E)</f>
        <v>4609中抽斗(0.8MM)</v>
      </c>
      <c r="I141" s="23" t="str">
        <f>_xlfn.XLOOKUP(G141,产品资料!C:C,产品资料!F:F)</f>
        <v>0.8*418*639</v>
      </c>
      <c r="J141">
        <f>9*Q141-K141</f>
        <v>252</v>
      </c>
      <c r="L141" s="28">
        <f>_xlfn.XLOOKUP(G141,产品资料!C:C,产品资料!O:O)*J141</f>
        <v>420.1222032</v>
      </c>
      <c r="M141" s="31">
        <f>IFERROR(_xlfn.XLOOKUP(G141,产品资料!C:C,产品资料!L:L)*J141,0)</f>
        <v>544.572</v>
      </c>
      <c r="N141">
        <f>IFERROR(_xlfn.XLOOKUP(G141,产品资料!C:C,产品资料!M:M)*J141,0)</f>
        <v>3024</v>
      </c>
      <c r="O141" s="52"/>
      <c r="P141" s="23">
        <f>IF(ISNUMBER(SEARCH("合包",R141)),SUMIFS(J:J,G:G,G:G,F:F,F:F)-SUMIFS(打包记录!J:J,打包记录!G:G,G:G,打包记录!F:F,F:F),SUMIFS(J:J,D:D,D:D,G:G,G:G,F:F,F:F)-SUMIFS(打包记录!J:J,打包记录!D:D,D:D,打包记录!G:G,G:G,打包记录!F:F,F:F))</f>
        <v>2</v>
      </c>
      <c r="Q141">
        <v>28</v>
      </c>
    </row>
    <row r="142" spans="1:17" ht="14.25" customHeight="1" x14ac:dyDescent="0.15">
      <c r="A142">
        <v>138</v>
      </c>
      <c r="B142" s="21">
        <v>46252</v>
      </c>
      <c r="C142" t="s">
        <v>190</v>
      </c>
      <c r="D142" t="s">
        <v>179</v>
      </c>
      <c r="E142" t="s">
        <v>228</v>
      </c>
      <c r="F142">
        <v>39407267</v>
      </c>
      <c r="G142" t="s">
        <v>19</v>
      </c>
      <c r="H142" t="str">
        <f>_xlfn.XLOOKUP(G142,产品资料!C:C,产品资料!E:E)</f>
        <v xml:space="preserve">4609底盖小加强板（0.8MM ) </v>
      </c>
      <c r="I142" s="23" t="str">
        <f>_xlfn.XLOOKUP(G142,产品资料!C:C,产品资料!F:F)</f>
        <v>0.8*119*1162</v>
      </c>
      <c r="J142">
        <f>41*Q142-K142</f>
        <v>205</v>
      </c>
      <c r="L142" s="28">
        <f>_xlfn.XLOOKUP(G142,产品资料!C:C,产品资料!O:O)*J142</f>
        <v>176.27080799999999</v>
      </c>
      <c r="M142" s="31">
        <f>IFERROR(_xlfn.XLOOKUP(G142,产品资料!C:C,产品资料!L:L)*J142,0)</f>
        <v>525.20999999999992</v>
      </c>
      <c r="N142">
        <f>IFERROR(_xlfn.XLOOKUP(G142,产品资料!C:C,产品资料!M:M)*J142,0)</f>
        <v>1640</v>
      </c>
      <c r="O142" s="51" t="s">
        <v>239</v>
      </c>
      <c r="P142" s="23">
        <f>IF(ISNUMBER(SEARCH("合包",R142)),SUMIFS(J:J,G:G,G:G,F:F,F:F)-SUMIFS(打包记录!J:J,打包记录!G:G,G:G,打包记录!F:F,F:F),SUMIFS(J:J,D:D,D:D,G:G,G:G,F:F,F:F)-SUMIFS(打包记录!J:J,打包记录!D:D,D:D,打包记录!G:G,G:G,打包记录!F:F,F:F))</f>
        <v>571</v>
      </c>
      <c r="Q142">
        <v>5</v>
      </c>
    </row>
    <row r="143" spans="1:17" ht="14.25" customHeight="1" x14ac:dyDescent="0.15">
      <c r="A143">
        <v>139</v>
      </c>
      <c r="B143" s="21">
        <v>46252</v>
      </c>
      <c r="C143" t="s">
        <v>190</v>
      </c>
      <c r="D143" t="s">
        <v>179</v>
      </c>
      <c r="E143" t="s">
        <v>228</v>
      </c>
      <c r="F143">
        <v>39407267</v>
      </c>
      <c r="G143" t="s">
        <v>40</v>
      </c>
      <c r="H143" t="str">
        <f>_xlfn.XLOOKUP(G143,产品资料!C:C,产品资料!E:E)</f>
        <v>4609底盖（0.8MM)</v>
      </c>
      <c r="I143" s="23" t="str">
        <f>_xlfn.XLOOKUP(G143,产品资料!C:C,产品资料!F:F)</f>
        <v>0.8*552.5*1211</v>
      </c>
      <c r="J143">
        <f>41*Q143-K143</f>
        <v>324</v>
      </c>
      <c r="K143">
        <v>4</v>
      </c>
      <c r="L143" s="28">
        <f>_xlfn.XLOOKUP(G143,产品资料!C:C,产品资料!O:O)*J143</f>
        <v>1346.6997792000002</v>
      </c>
      <c r="M143" s="31">
        <f>IFERROR(_xlfn.XLOOKUP(G143,产品资料!C:C,产品资料!L:L)*J143,0)</f>
        <v>1160.2439999999999</v>
      </c>
      <c r="N143">
        <f>IFERROR(_xlfn.XLOOKUP(G143,产品资料!C:C,产品资料!M:M)*J143,0)</f>
        <v>5184</v>
      </c>
      <c r="O143" s="51"/>
      <c r="P143" s="23">
        <f>IF(ISNUMBER(SEARCH("合包",R143)),SUMIFS(J:J,G:G,G:G,F:F,F:F)-SUMIFS(打包记录!J:J,打包记录!G:G,G:G,打包记录!F:F,F:F),SUMIFS(J:J,D:D,D:D,G:G,G:G,F:F,F:F)-SUMIFS(打包记录!J:J,打包记录!D:D,D:D,打包记录!G:G,G:G,打包记录!F:F,F:F))</f>
        <v>152</v>
      </c>
      <c r="Q143">
        <v>8</v>
      </c>
    </row>
    <row r="144" spans="1:17" ht="14.25" customHeight="1" x14ac:dyDescent="0.15">
      <c r="A144">
        <v>140</v>
      </c>
      <c r="B144" s="21">
        <v>46252</v>
      </c>
      <c r="C144" t="s">
        <v>190</v>
      </c>
      <c r="D144" t="s">
        <v>179</v>
      </c>
      <c r="E144" t="s">
        <v>228</v>
      </c>
      <c r="F144">
        <v>39407267</v>
      </c>
      <c r="G144" t="s">
        <v>65</v>
      </c>
      <c r="H144" t="str">
        <f>_xlfn.XLOOKUP(G144,产品资料!C:C,产品资料!E:E)</f>
        <v>4609中隔板(0.8MM)</v>
      </c>
      <c r="I144" s="23" t="str">
        <f>_xlfn.XLOOKUP(G144,产品资料!C:C,产品资料!F:F)</f>
        <v>0.8*481.5*550</v>
      </c>
      <c r="J144">
        <f>41*Q144-K144</f>
        <v>164</v>
      </c>
      <c r="L144" s="28">
        <f>_xlfn.XLOOKUP(G144,产品资料!C:C,产品资料!O:O)*J144</f>
        <v>272.27995040000002</v>
      </c>
      <c r="M144" s="31">
        <f>IFERROR(_xlfn.XLOOKUP(G144,产品资料!C:C,产品资料!L:L)*J144,0)</f>
        <v>338.33200000000005</v>
      </c>
      <c r="N144">
        <f>IFERROR(_xlfn.XLOOKUP(G144,产品资料!C:C,产品资料!M:M)*J144,0)</f>
        <v>2460</v>
      </c>
      <c r="O144" s="51"/>
      <c r="P144" s="23">
        <f>IF(ISNUMBER(SEARCH("合包",R144)),SUMIFS(J:J,G:G,G:G,F:F,F:F)-SUMIFS(打包记录!J:J,打包记录!G:G,G:G,打包记录!F:F,F:F),SUMIFS(J:J,D:D,D:D,G:G,G:G,F:F,F:F)-SUMIFS(打包记录!J:J,打包记录!D:D,D:D,打包记录!G:G,G:G,打包记录!F:F,F:F))</f>
        <v>199</v>
      </c>
      <c r="Q144">
        <v>4</v>
      </c>
    </row>
    <row r="145" spans="1:17" ht="14.25" customHeight="1" x14ac:dyDescent="0.15">
      <c r="A145">
        <v>141</v>
      </c>
      <c r="B145" s="21">
        <v>46253</v>
      </c>
      <c r="C145" t="s">
        <v>189</v>
      </c>
      <c r="D145" t="s">
        <v>179</v>
      </c>
      <c r="E145" t="s">
        <v>228</v>
      </c>
      <c r="F145">
        <v>39407267</v>
      </c>
      <c r="G145" t="s">
        <v>19</v>
      </c>
      <c r="H145" t="str">
        <f>_xlfn.XLOOKUP(G145,产品资料!C:C,产品资料!E:E)</f>
        <v xml:space="preserve">4609底盖小加强板（0.8MM ) </v>
      </c>
      <c r="I145" s="23" t="str">
        <f>_xlfn.XLOOKUP(G145,产品资料!C:C,产品资料!F:F)</f>
        <v>0.8*119*1162</v>
      </c>
      <c r="J145">
        <f>50*Q145-K145</f>
        <v>207</v>
      </c>
      <c r="K145">
        <f>37+6</f>
        <v>43</v>
      </c>
      <c r="L145" s="28">
        <f>_xlfn.XLOOKUP(G145,产品资料!C:C,产品资料!O:O)*J145</f>
        <v>177.99052319999998</v>
      </c>
      <c r="M145" s="31">
        <f>IFERROR(_xlfn.XLOOKUP(G145,产品资料!C:C,产品资料!L:L)*J145,0)</f>
        <v>530.33399999999995</v>
      </c>
      <c r="N145">
        <f>IFERROR(_xlfn.XLOOKUP(G145,产品资料!C:C,产品资料!M:M)*J145,0)</f>
        <v>1656</v>
      </c>
      <c r="O145" s="51" t="s">
        <v>240</v>
      </c>
      <c r="P145" s="23">
        <f>IF(ISNUMBER(SEARCH("合包",R145)),SUMIFS(J:J,G:G,G:G,F:F,F:F)-SUMIFS(打包记录!J:J,打包记录!G:G,G:G,打包记录!F:F,F:F),SUMIFS(J:J,D:D,D:D,G:G,G:G,F:F,F:F)-SUMIFS(打包记录!J:J,打包记录!D:D,D:D,打包记录!G:G,G:G,打包记录!F:F,F:F))</f>
        <v>571</v>
      </c>
      <c r="Q145">
        <v>5</v>
      </c>
    </row>
    <row r="146" spans="1:17" ht="14.25" customHeight="1" x14ac:dyDescent="0.15">
      <c r="A146">
        <v>142</v>
      </c>
      <c r="B146" s="21">
        <v>46253</v>
      </c>
      <c r="C146" t="s">
        <v>189</v>
      </c>
      <c r="D146" t="s">
        <v>179</v>
      </c>
      <c r="E146" t="s">
        <v>228</v>
      </c>
      <c r="F146">
        <v>39407267</v>
      </c>
      <c r="G146" t="s">
        <v>40</v>
      </c>
      <c r="H146" t="str">
        <f>_xlfn.XLOOKUP(G146,产品资料!C:C,产品资料!E:E)</f>
        <v>4609底盖（0.8MM)</v>
      </c>
      <c r="I146" s="23" t="str">
        <f>_xlfn.XLOOKUP(G146,产品资料!C:C,产品资料!F:F)</f>
        <v>0.8*552.5*1211</v>
      </c>
      <c r="J146">
        <f>50*Q146-K146</f>
        <v>392</v>
      </c>
      <c r="K146">
        <v>8</v>
      </c>
      <c r="L146" s="28">
        <f>_xlfn.XLOOKUP(G146,产品资料!C:C,产品资料!O:O)*J146</f>
        <v>1629.3404736000002</v>
      </c>
      <c r="M146" s="31">
        <f>IFERROR(_xlfn.XLOOKUP(G146,产品资料!C:C,产品资料!L:L)*J146,0)</f>
        <v>1403.752</v>
      </c>
      <c r="N146">
        <f>IFERROR(_xlfn.XLOOKUP(G146,产品资料!C:C,产品资料!M:M)*J146,0)</f>
        <v>6272</v>
      </c>
      <c r="O146" s="51"/>
      <c r="P146" s="23">
        <f>IF(ISNUMBER(SEARCH("合包",R146)),SUMIFS(J:J,G:G,G:G,F:F,F:F)-SUMIFS(打包记录!J:J,打包记录!G:G,G:G,打包记录!F:F,F:F),SUMIFS(J:J,D:D,D:D,G:G,G:G,F:F,F:F)-SUMIFS(打包记录!J:J,打包记录!D:D,D:D,打包记录!G:G,G:G,打包记录!F:F,F:F))</f>
        <v>152</v>
      </c>
      <c r="Q146">
        <v>8</v>
      </c>
    </row>
    <row r="147" spans="1:17" ht="14.25" customHeight="1" x14ac:dyDescent="0.15">
      <c r="A147">
        <v>143</v>
      </c>
      <c r="B147" s="21">
        <v>46253</v>
      </c>
      <c r="C147" t="s">
        <v>189</v>
      </c>
      <c r="D147" t="s">
        <v>179</v>
      </c>
      <c r="E147" t="s">
        <v>228</v>
      </c>
      <c r="F147">
        <v>39407267</v>
      </c>
      <c r="G147" t="s">
        <v>65</v>
      </c>
      <c r="H147" t="str">
        <f>_xlfn.XLOOKUP(G147,产品资料!C:C,产品资料!E:E)</f>
        <v>4609中隔板(0.8MM)</v>
      </c>
      <c r="I147" s="23" t="str">
        <f>_xlfn.XLOOKUP(G147,产品资料!C:C,产品资料!F:F)</f>
        <v>0.8*481.5*550</v>
      </c>
      <c r="J147">
        <f>50*Q147-K147</f>
        <v>198</v>
      </c>
      <c r="K147">
        <v>2</v>
      </c>
      <c r="L147" s="28">
        <f>_xlfn.XLOOKUP(G147,产品资料!C:C,产品资料!O:O)*J147</f>
        <v>328.7282328</v>
      </c>
      <c r="M147" s="31">
        <f>IFERROR(_xlfn.XLOOKUP(G147,产品资料!C:C,产品资料!L:L)*J147,0)</f>
        <v>408.47400000000005</v>
      </c>
      <c r="N147">
        <f>IFERROR(_xlfn.XLOOKUP(G147,产品资料!C:C,产品资料!M:M)*J147,0)</f>
        <v>2970</v>
      </c>
      <c r="O147" s="51"/>
      <c r="P147" s="23">
        <f>IF(ISNUMBER(SEARCH("合包",R147)),SUMIFS(J:J,G:G,G:G,F:F,F:F)-SUMIFS(打包记录!J:J,打包记录!G:G,G:G,打包记录!F:F,F:F),SUMIFS(J:J,D:D,D:D,G:G,G:G,F:F,F:F)-SUMIFS(打包记录!J:J,打包记录!D:D,D:D,打包记录!G:G,G:G,打包记录!F:F,F:F))</f>
        <v>199</v>
      </c>
      <c r="Q147">
        <v>4</v>
      </c>
    </row>
    <row r="148" spans="1:17" ht="14.25" customHeight="1" x14ac:dyDescent="0.15">
      <c r="A148">
        <v>144</v>
      </c>
      <c r="B148" s="21">
        <v>46253</v>
      </c>
      <c r="C148" t="s">
        <v>189</v>
      </c>
      <c r="D148" t="s">
        <v>179</v>
      </c>
      <c r="E148" t="s">
        <v>241</v>
      </c>
      <c r="F148">
        <v>39407267</v>
      </c>
      <c r="G148" t="s">
        <v>135</v>
      </c>
      <c r="H148" t="str">
        <f>_xlfn.XLOOKUP(G148,产品资料!C:C,产品资料!E:E)</f>
        <v>4609后排锁座(0.5)</v>
      </c>
      <c r="I148" s="23" t="str">
        <f>_xlfn.XLOOKUP(G148,产品资料!C:C,产品资料!F:F)</f>
        <v>0.5*110*755</v>
      </c>
      <c r="J148">
        <f>15*Q148-K148</f>
        <v>97</v>
      </c>
      <c r="K148">
        <v>8</v>
      </c>
      <c r="L148" s="28">
        <f>_xlfn.XLOOKUP(G148,产品资料!C:C,产品资料!O:O)*J148</f>
        <v>31.200413749999996</v>
      </c>
      <c r="M148" s="31">
        <f>IFERROR(_xlfn.XLOOKUP(G148,产品资料!C:C,产品资料!L:L)*J148,0)</f>
        <v>179.45000000000002</v>
      </c>
      <c r="N148">
        <f>IFERROR(_xlfn.XLOOKUP(G148,产品资料!C:C,产品资料!M:M)*J148,0)</f>
        <v>0</v>
      </c>
      <c r="O148" s="34" t="s">
        <v>242</v>
      </c>
      <c r="P148" s="23">
        <f>IF(ISNUMBER(SEARCH("合包",R148)),SUMIFS(J:J,G:G,G:G,F:F,F:F)-SUMIFS(打包记录!J:J,打包记录!G:G,G:G,打包记录!F:F,F:F),SUMIFS(J:J,D:D,D:D,G:G,G:G,F:F,F:F)-SUMIFS(打包记录!J:J,打包记录!D:D,D:D,打包记录!G:G,G:G,打包记录!F:F,F:F))</f>
        <v>7</v>
      </c>
      <c r="Q148">
        <v>7</v>
      </c>
    </row>
    <row r="149" spans="1:17" ht="14.25" customHeight="1" x14ac:dyDescent="0.15">
      <c r="A149">
        <v>145</v>
      </c>
      <c r="B149" s="21">
        <v>46253</v>
      </c>
      <c r="C149" t="s">
        <v>189</v>
      </c>
      <c r="D149" s="24" t="s">
        <v>182</v>
      </c>
      <c r="E149" t="s">
        <v>228</v>
      </c>
      <c r="F149">
        <v>39407267</v>
      </c>
      <c r="G149" t="s">
        <v>55</v>
      </c>
      <c r="H149" t="str">
        <f>_xlfn.XLOOKUP(G149,产品资料!C:C,产品资料!E:E)</f>
        <v>4609左内垫板(0.8MM)</v>
      </c>
      <c r="I149" s="23" t="str">
        <f>_xlfn.XLOOKUP(G149,产品资料!C:C,产品资料!F:F)</f>
        <v>0.8*152*662</v>
      </c>
      <c r="J149">
        <f t="shared" ref="J149:J156" si="10">84*Q149-K149</f>
        <v>671</v>
      </c>
      <c r="K149">
        <v>1</v>
      </c>
      <c r="L149" s="28">
        <f>_xlfn.XLOOKUP(G149,产品资料!C:C,产品资料!O:O)*J149</f>
        <v>413.38162800000003</v>
      </c>
      <c r="M149" s="31">
        <f>IFERROR(_xlfn.XLOOKUP(G149,产品资料!C:C,产品资料!L:L)*J149,0)</f>
        <v>1191.6959999999999</v>
      </c>
      <c r="N149">
        <f>IFERROR(_xlfn.XLOOKUP(G149,产品资料!C:C,产品资料!M:M)*J149,0)</f>
        <v>4026</v>
      </c>
      <c r="O149" s="51" t="s">
        <v>243</v>
      </c>
      <c r="P149" s="23">
        <f>IF(ISNUMBER(SEARCH("合包",R149)),SUMIFS(J:J,G:G,G:G,F:F,F:F)-SUMIFS(打包记录!J:J,打包记录!G:G,G:G,打包记录!F:F,F:F),SUMIFS(J:J,D:D,D:D,G:G,G:G,F:F,F:F)-SUMIFS(打包记录!J:J,打包记录!D:D,D:D,打包记录!G:G,G:G,打包记录!F:F,F:F))</f>
        <v>4</v>
      </c>
      <c r="Q149">
        <v>8</v>
      </c>
    </row>
    <row r="150" spans="1:17" ht="14.25" customHeight="1" x14ac:dyDescent="0.15">
      <c r="A150">
        <v>146</v>
      </c>
      <c r="B150" s="21">
        <v>46253</v>
      </c>
      <c r="C150" t="s">
        <v>189</v>
      </c>
      <c r="D150" s="24" t="s">
        <v>182</v>
      </c>
      <c r="E150" t="s">
        <v>228</v>
      </c>
      <c r="F150">
        <v>39407267</v>
      </c>
      <c r="G150" t="s">
        <v>60</v>
      </c>
      <c r="H150" t="str">
        <f>_xlfn.XLOOKUP(G150,产品资料!C:C,产品资料!E:E)</f>
        <v>4609后内垫板大槽(0.8MM)</v>
      </c>
      <c r="I150" s="23" t="str">
        <f>_xlfn.XLOOKUP(G150,产品资料!C:C,产品资料!F:F)</f>
        <v>0.8*145*754.5</v>
      </c>
      <c r="J150">
        <f t="shared" si="10"/>
        <v>672</v>
      </c>
      <c r="L150" s="28">
        <f>_xlfn.XLOOKUP(G150,产品资料!C:C,产品资料!O:O)*J150</f>
        <v>461.34789119999999</v>
      </c>
      <c r="M150" s="31">
        <f>IFERROR(_xlfn.XLOOKUP(G150,产品资料!C:C,产品资料!L:L)*J150,0)</f>
        <v>1208.9279999999999</v>
      </c>
      <c r="N150">
        <f>IFERROR(_xlfn.XLOOKUP(G150,产品资料!C:C,产品资料!M:M)*J150,0)</f>
        <v>4032</v>
      </c>
      <c r="O150" s="51"/>
      <c r="P150" s="23">
        <f>IF(ISNUMBER(SEARCH("合包",R150)),SUMIFS(J:J,G:G,G:G,F:F,F:F)-SUMIFS(打包记录!J:J,打包记录!G:G,G:G,打包记录!F:F,F:F),SUMIFS(J:J,D:D,D:D,G:G,G:G,F:F,F:F)-SUMIFS(打包记录!J:J,打包记录!D:D,D:D,打包记录!G:G,G:G,打包记录!F:F,F:F))</f>
        <v>4</v>
      </c>
      <c r="Q150">
        <v>8</v>
      </c>
    </row>
    <row r="151" spans="1:17" ht="14.25" customHeight="1" x14ac:dyDescent="0.15">
      <c r="A151">
        <v>147</v>
      </c>
      <c r="B151" s="21">
        <v>46253</v>
      </c>
      <c r="C151" t="s">
        <v>189</v>
      </c>
      <c r="D151" s="24" t="s">
        <v>182</v>
      </c>
      <c r="E151" t="s">
        <v>228</v>
      </c>
      <c r="F151">
        <v>39407267</v>
      </c>
      <c r="G151" t="s">
        <v>90</v>
      </c>
      <c r="H151" t="str">
        <f>_xlfn.XLOOKUP(G151,产品资料!C:C,产品资料!E:E)</f>
        <v>4609顶长抽斗(0.8MM)</v>
      </c>
      <c r="I151" s="23" t="str">
        <f>_xlfn.XLOOKUP(G151,产品资料!C:C,产品资料!F:F)</f>
        <v>0.8*418*1210</v>
      </c>
      <c r="J151">
        <f t="shared" si="10"/>
        <v>336</v>
      </c>
      <c r="L151" s="28">
        <f>_xlfn.XLOOKUP(G151,产品资料!C:C,产品资料!O:O)*J151</f>
        <v>1063.3537152000001</v>
      </c>
      <c r="M151" s="31">
        <f>IFERROR(_xlfn.XLOOKUP(G151,产品资料!C:C,产品资料!L:L)*J151,0)</f>
        <v>1109.472</v>
      </c>
      <c r="N151">
        <f>IFERROR(_xlfn.XLOOKUP(G151,产品资料!C:C,产品资料!M:M)*J151,0)</f>
        <v>4032</v>
      </c>
      <c r="O151" s="51"/>
      <c r="P151" s="23">
        <f>IF(ISNUMBER(SEARCH("合包",R151)),SUMIFS(J:J,G:G,G:G,F:F,F:F)-SUMIFS(打包记录!J:J,打包记录!G:G,G:G,打包记录!F:F,F:F),SUMIFS(J:J,D:D,D:D,G:G,G:G,F:F,F:F)-SUMIFS(打包记录!J:J,打包记录!D:D,D:D,打包记录!G:G,G:G,打包记录!F:F,F:F))</f>
        <v>-194</v>
      </c>
      <c r="Q151">
        <v>4</v>
      </c>
    </row>
    <row r="152" spans="1:17" ht="14.25" customHeight="1" x14ac:dyDescent="0.15">
      <c r="A152">
        <v>148</v>
      </c>
      <c r="B152" s="21">
        <v>46253</v>
      </c>
      <c r="C152" t="s">
        <v>189</v>
      </c>
      <c r="D152" s="24" t="s">
        <v>182</v>
      </c>
      <c r="E152" t="s">
        <v>228</v>
      </c>
      <c r="F152">
        <v>39407267</v>
      </c>
      <c r="G152" t="s">
        <v>100</v>
      </c>
      <c r="H152" t="str">
        <f>_xlfn.XLOOKUP(G152,产品资料!C:C,产品资料!E:E)</f>
        <v>4609小抽斗(0.8MM)</v>
      </c>
      <c r="I152" s="23" t="str">
        <f>_xlfn.XLOOKUP(G152,产品资料!C:C,产品资料!F:F)</f>
        <v>0.8*418*603</v>
      </c>
      <c r="J152">
        <f t="shared" si="10"/>
        <v>672</v>
      </c>
      <c r="L152" s="28">
        <f>_xlfn.XLOOKUP(G152,产品资料!C:C,产品资料!O:O)*J152</f>
        <v>1056.8124671999999</v>
      </c>
      <c r="M152" s="31">
        <f>IFERROR(_xlfn.XLOOKUP(G152,产品资料!C:C,产品资料!L:L)*J152,0)</f>
        <v>1403.808</v>
      </c>
      <c r="N152">
        <f>IFERROR(_xlfn.XLOOKUP(G152,产品资料!C:C,产品资料!M:M)*J152,0)</f>
        <v>8064</v>
      </c>
      <c r="O152" s="51"/>
      <c r="P152" s="23">
        <f>IF(ISNUMBER(SEARCH("合包",R152)),SUMIFS(J:J,G:G,G:G,F:F,F:F)-SUMIFS(打包记录!J:J,打包记录!G:G,G:G,打包记录!F:F,F:F),SUMIFS(J:J,D:D,D:D,G:G,G:G,F:F,F:F)-SUMIFS(打包记录!J:J,打包记录!D:D,D:D,打包记录!G:G,G:G,打包记录!F:F,F:F))</f>
        <v>3</v>
      </c>
      <c r="Q152">
        <v>8</v>
      </c>
    </row>
    <row r="153" spans="1:17" ht="14.25" customHeight="1" x14ac:dyDescent="0.15">
      <c r="A153">
        <v>149</v>
      </c>
      <c r="B153" s="21">
        <v>46253</v>
      </c>
      <c r="C153" t="s">
        <v>189</v>
      </c>
      <c r="D153" s="24" t="s">
        <v>182</v>
      </c>
      <c r="E153" t="s">
        <v>228</v>
      </c>
      <c r="F153">
        <v>39407267</v>
      </c>
      <c r="G153" t="s">
        <v>105</v>
      </c>
      <c r="H153" t="str">
        <f>_xlfn.XLOOKUP(G153,产品资料!C:C,产品资料!E:E)</f>
        <v>4609小拉手(0.8MM）</v>
      </c>
      <c r="I153" s="23" t="str">
        <f>_xlfn.XLOOKUP(G153,产品资料!C:C,产品资料!F:F)</f>
        <v>0.8*142*515</v>
      </c>
      <c r="J153">
        <f t="shared" si="10"/>
        <v>672</v>
      </c>
      <c r="L153" s="28">
        <f>_xlfn.XLOOKUP(G153,产品资料!C:C,产品资料!O:O)*J153</f>
        <v>307.18544639999999</v>
      </c>
      <c r="M153" s="31">
        <f>IFERROR(_xlfn.XLOOKUP(G153,产品资料!C:C,产品资料!L:L)*J153,0)</f>
        <v>878.976</v>
      </c>
      <c r="N153">
        <f>IFERROR(_xlfn.XLOOKUP(G153,产品资料!C:C,产品资料!M:M)*J153,0)</f>
        <v>0</v>
      </c>
      <c r="O153" s="51"/>
      <c r="P153" s="23">
        <f>IF(ISNUMBER(SEARCH("合包",R153)),SUMIFS(J:J,G:G,G:G,F:F,F:F)-SUMIFS(打包记录!J:J,打包记录!G:G,G:G,打包记录!F:F,F:F),SUMIFS(J:J,D:D,D:D,G:G,G:G,F:F,F:F)-SUMIFS(打包记录!J:J,打包记录!D:D,D:D,打包记录!G:G,G:G,打包记录!F:F,F:F))</f>
        <v>4</v>
      </c>
      <c r="Q153">
        <v>8</v>
      </c>
    </row>
    <row r="154" spans="1:17" ht="14.25" customHeight="1" x14ac:dyDescent="0.15">
      <c r="A154">
        <v>150</v>
      </c>
      <c r="B154" s="21">
        <v>46253</v>
      </c>
      <c r="C154" t="s">
        <v>189</v>
      </c>
      <c r="D154" s="24" t="s">
        <v>182</v>
      </c>
      <c r="E154" t="s">
        <v>228</v>
      </c>
      <c r="F154">
        <v>39407267</v>
      </c>
      <c r="G154" t="s">
        <v>110</v>
      </c>
      <c r="H154" t="str">
        <f>_xlfn.XLOOKUP(G154,产品资料!C:C,产品资料!E:E)</f>
        <v>4609中抽斗(0.8MM)</v>
      </c>
      <c r="I154" s="23" t="str">
        <f>_xlfn.XLOOKUP(G154,产品资料!C:C,产品资料!F:F)</f>
        <v>0.8*418*639</v>
      </c>
      <c r="J154">
        <f t="shared" si="10"/>
        <v>672</v>
      </c>
      <c r="L154" s="28">
        <f>_xlfn.XLOOKUP(G154,产品资料!C:C,产品资料!O:O)*J154</f>
        <v>1120.3258751999999</v>
      </c>
      <c r="M154" s="31">
        <f>IFERROR(_xlfn.XLOOKUP(G154,产品资料!C:C,产品资料!L:L)*J154,0)</f>
        <v>1452.192</v>
      </c>
      <c r="N154">
        <f>IFERROR(_xlfn.XLOOKUP(G154,产品资料!C:C,产品资料!M:M)*J154,0)</f>
        <v>8064</v>
      </c>
      <c r="O154" s="51"/>
      <c r="P154" s="23">
        <f>IF(ISNUMBER(SEARCH("合包",R154)),SUMIFS(J:J,G:G,G:G,F:F,F:F)-SUMIFS(打包记录!J:J,打包记录!G:G,G:G,打包记录!F:F,F:F),SUMIFS(J:J,D:D,D:D,G:G,G:G,F:F,F:F)-SUMIFS(打包记录!J:J,打包记录!D:D,D:D,打包记录!G:G,G:G,打包记录!F:F,F:F))</f>
        <v>2</v>
      </c>
      <c r="Q154">
        <v>8</v>
      </c>
    </row>
    <row r="155" spans="1:17" ht="14.25" customHeight="1" x14ac:dyDescent="0.15">
      <c r="A155">
        <v>151</v>
      </c>
      <c r="B155" s="21">
        <v>46253</v>
      </c>
      <c r="C155" t="s">
        <v>189</v>
      </c>
      <c r="D155" s="24" t="s">
        <v>182</v>
      </c>
      <c r="E155" t="s">
        <v>228</v>
      </c>
      <c r="F155">
        <v>39407267</v>
      </c>
      <c r="G155" t="s">
        <v>115</v>
      </c>
      <c r="H155" t="str">
        <f>_xlfn.XLOOKUP(G155,产品资料!C:C,产品资料!E:E)</f>
        <v>4609中拉手(0.8MM）</v>
      </c>
      <c r="I155" s="23" t="str">
        <f>_xlfn.XLOOKUP(G155,产品资料!C:C,产品资料!F:F)</f>
        <v>0.8*155*515</v>
      </c>
      <c r="J155">
        <f t="shared" si="10"/>
        <v>670</v>
      </c>
      <c r="K155">
        <v>2</v>
      </c>
      <c r="L155" s="28">
        <f>_xlfn.XLOOKUP(G155,产品资料!C:C,产品资料!O:O)*J155</f>
        <v>334.42004800000001</v>
      </c>
      <c r="M155" s="31">
        <f>IFERROR(_xlfn.XLOOKUP(G155,产品资料!C:C,产品资料!L:L)*J155,0)</f>
        <v>893.78000000000009</v>
      </c>
      <c r="N155">
        <f>IFERROR(_xlfn.XLOOKUP(G155,产品资料!C:C,产品资料!M:M)*J155,0)</f>
        <v>0</v>
      </c>
      <c r="O155" s="51"/>
      <c r="P155" s="23">
        <f>IF(ISNUMBER(SEARCH("合包",R155)),SUMIFS(J:J,G:G,G:G,F:F,F:F)-SUMIFS(打包记录!J:J,打包记录!G:G,G:G,打包记录!F:F,F:F),SUMIFS(J:J,D:D,D:D,G:G,G:G,F:F,F:F)-SUMIFS(打包记录!J:J,打包记录!D:D,D:D,打包记录!G:G,G:G,打包记录!F:F,F:F))</f>
        <v>10</v>
      </c>
      <c r="Q155">
        <v>8</v>
      </c>
    </row>
    <row r="156" spans="1:17" ht="14.25" customHeight="1" x14ac:dyDescent="0.15">
      <c r="A156">
        <v>152</v>
      </c>
      <c r="B156" s="21">
        <v>46253</v>
      </c>
      <c r="C156" t="s">
        <v>189</v>
      </c>
      <c r="D156" s="24" t="s">
        <v>182</v>
      </c>
      <c r="E156" t="s">
        <v>228</v>
      </c>
      <c r="F156">
        <v>39407267</v>
      </c>
      <c r="G156" t="s">
        <v>125</v>
      </c>
      <c r="H156" t="str">
        <f>_xlfn.XLOOKUP(G156,产品资料!C:C,产品资料!E:E)</f>
        <v>4609大拉手(0.8MM）</v>
      </c>
      <c r="I156" s="23" t="str">
        <f>_xlfn.XLOOKUP(G156,产品资料!C:C,产品资料!F:F)</f>
        <v>0.8*303*515</v>
      </c>
      <c r="J156">
        <f t="shared" si="10"/>
        <v>2688</v>
      </c>
      <c r="L156" s="28">
        <f>_xlfn.XLOOKUP(G156,产品资料!C:C,产品资料!O:O)*J156</f>
        <v>2628.3156479999998</v>
      </c>
      <c r="M156" s="31">
        <f>IFERROR(_xlfn.XLOOKUP(G156,产品资料!C:C,产品资料!L:L)*J156,0)</f>
        <v>4381.4399999999996</v>
      </c>
      <c r="N156">
        <f>IFERROR(_xlfn.XLOOKUP(G156,产品资料!C:C,产品资料!M:M)*J156,0)</f>
        <v>0</v>
      </c>
      <c r="O156" s="51"/>
      <c r="P156" s="23">
        <f>IF(ISNUMBER(SEARCH("合包",R156)),SUMIFS(J:J,G:G,G:G,F:F,F:F)-SUMIFS(打包记录!J:J,打包记录!G:G,G:G,打包记录!F:F,F:F),SUMIFS(J:J,D:D,D:D,G:G,G:G,F:F,F:F)-SUMIFS(打包记录!J:J,打包记录!D:D,D:D,打包记录!G:G,G:G,打包记录!F:F,F:F))</f>
        <v>3</v>
      </c>
      <c r="Q156">
        <v>32</v>
      </c>
    </row>
    <row r="157" spans="1:17" ht="14.25" customHeight="1" x14ac:dyDescent="0.15">
      <c r="A157">
        <v>153</v>
      </c>
      <c r="B157" s="21">
        <v>46253</v>
      </c>
      <c r="C157" t="s">
        <v>190</v>
      </c>
      <c r="D157" t="s">
        <v>179</v>
      </c>
      <c r="E157" t="s">
        <v>241</v>
      </c>
      <c r="F157">
        <v>39407267</v>
      </c>
      <c r="G157" t="s">
        <v>135</v>
      </c>
      <c r="H157" t="str">
        <f>_xlfn.XLOOKUP(G157,产品资料!C:C,产品资料!E:E)</f>
        <v>4609后排锁座(0.5)</v>
      </c>
      <c r="I157" s="23" t="str">
        <f>_xlfn.XLOOKUP(G157,产品资料!C:C,产品资料!F:F)</f>
        <v>0.5*110*755</v>
      </c>
      <c r="J157">
        <f>8*Q157-K157</f>
        <v>56</v>
      </c>
      <c r="L157" s="28">
        <f>_xlfn.XLOOKUP(G157,产品资料!C:C,产品资料!O:O)*J157</f>
        <v>18.012609999999999</v>
      </c>
      <c r="M157" s="31">
        <f>IFERROR(_xlfn.XLOOKUP(G157,产品资料!C:C,产品资料!L:L)*J157,0)</f>
        <v>103.60000000000001</v>
      </c>
      <c r="N157">
        <f>IFERROR(_xlfn.XLOOKUP(G157,产品资料!C:C,产品资料!M:M)*J157,0)</f>
        <v>0</v>
      </c>
      <c r="O157" s="34" t="s">
        <v>244</v>
      </c>
      <c r="P157" s="23">
        <f>IF(ISNUMBER(SEARCH("合包",R157)),SUMIFS(J:J,G:G,G:G,F:F,F:F)-SUMIFS(打包记录!J:J,打包记录!G:G,G:G,打包记录!F:F,F:F),SUMIFS(J:J,D:D,D:D,G:G,G:G,F:F,F:F)-SUMIFS(打包记录!J:J,打包记录!D:D,D:D,打包记录!G:G,G:G,打包记录!F:F,F:F))</f>
        <v>7</v>
      </c>
      <c r="Q157">
        <v>7</v>
      </c>
    </row>
    <row r="158" spans="1:17" ht="14.25" customHeight="1" x14ac:dyDescent="0.15">
      <c r="A158">
        <v>154</v>
      </c>
      <c r="B158" s="21">
        <v>46253</v>
      </c>
      <c r="C158" t="s">
        <v>190</v>
      </c>
      <c r="D158" t="s">
        <v>179</v>
      </c>
      <c r="E158" t="s">
        <v>241</v>
      </c>
      <c r="F158">
        <v>39407267</v>
      </c>
      <c r="G158" t="s">
        <v>135</v>
      </c>
      <c r="H158" t="str">
        <f>_xlfn.XLOOKUP(G158,产品资料!C:C,产品资料!E:E)</f>
        <v>4609后排锁座(0.5)</v>
      </c>
      <c r="I158" s="23" t="str">
        <f>_xlfn.XLOOKUP(G158,产品资料!C:C,产品资料!F:F)</f>
        <v>0.5*110*755</v>
      </c>
      <c r="J158">
        <f>22*Q158-K158</f>
        <v>132</v>
      </c>
      <c r="L158" s="28">
        <f>_xlfn.XLOOKUP(G158,产品资料!C:C,产品资料!O:O)*J158</f>
        <v>42.458294999999993</v>
      </c>
      <c r="M158" s="31">
        <f>IFERROR(_xlfn.XLOOKUP(G158,产品资料!C:C,产品资料!L:L)*J158,0)</f>
        <v>244.20000000000002</v>
      </c>
      <c r="N158">
        <f>IFERROR(_xlfn.XLOOKUP(G158,产品资料!C:C,产品资料!M:M)*J158,0)</f>
        <v>0</v>
      </c>
      <c r="O158" s="36" t="s">
        <v>245</v>
      </c>
      <c r="P158" s="23">
        <f>IF(ISNUMBER(SEARCH("合包",R158)),SUMIFS(J:J,G:G,G:G,F:F,F:F)-SUMIFS(打包记录!J:J,打包记录!G:G,G:G,打包记录!F:F,F:F),SUMIFS(J:J,D:D,D:D,G:G,G:G,F:F,F:F)-SUMIFS(打包记录!J:J,打包记录!D:D,D:D,打包记录!G:G,G:G,打包记录!F:F,F:F))</f>
        <v>7</v>
      </c>
      <c r="Q158">
        <v>6</v>
      </c>
    </row>
    <row r="159" spans="1:17" ht="14.25" customHeight="1" x14ac:dyDescent="0.15">
      <c r="A159">
        <v>155</v>
      </c>
      <c r="B159" s="21">
        <v>46253</v>
      </c>
      <c r="C159" t="s">
        <v>190</v>
      </c>
      <c r="D159" t="s">
        <v>179</v>
      </c>
      <c r="E159" t="s">
        <v>241</v>
      </c>
      <c r="F159">
        <v>39407267</v>
      </c>
      <c r="G159" t="s">
        <v>135</v>
      </c>
      <c r="H159" t="str">
        <f>_xlfn.XLOOKUP(G159,产品资料!C:C,产品资料!E:E)</f>
        <v>4609后排锁座(0.5)</v>
      </c>
      <c r="I159" s="23" t="str">
        <f>_xlfn.XLOOKUP(G159,产品资料!C:C,产品资料!F:F)</f>
        <v>0.5*110*755</v>
      </c>
      <c r="J159">
        <f>9*Q159-K159</f>
        <v>792</v>
      </c>
      <c r="L159" s="28">
        <f>_xlfn.XLOOKUP(G159,产品资料!C:C,产品资料!O:O)*J159</f>
        <v>254.74976999999996</v>
      </c>
      <c r="M159" s="31">
        <f>IFERROR(_xlfn.XLOOKUP(G159,产品资料!C:C,产品资料!L:L)*J159,0)</f>
        <v>1465.2</v>
      </c>
      <c r="N159">
        <f>IFERROR(_xlfn.XLOOKUP(G159,产品资料!C:C,产品资料!M:M)*J159,0)</f>
        <v>0</v>
      </c>
      <c r="O159" s="32" t="s">
        <v>246</v>
      </c>
      <c r="P159" s="23">
        <f>IF(ISNUMBER(SEARCH("合包",R159)),SUMIFS(J:J,G:G,G:G,F:F,F:F)-SUMIFS(打包记录!J:J,打包记录!G:G,G:G,打包记录!F:F,F:F),SUMIFS(J:J,D:D,D:D,G:G,G:G,F:F,F:F)-SUMIFS(打包记录!J:J,打包记录!D:D,D:D,打包记录!G:G,G:G,打包记录!F:F,F:F))</f>
        <v>7</v>
      </c>
      <c r="Q159">
        <v>88</v>
      </c>
    </row>
    <row r="160" spans="1:17" ht="14.25" customHeight="1" x14ac:dyDescent="0.15">
      <c r="A160">
        <v>156</v>
      </c>
      <c r="B160" s="21">
        <v>46254</v>
      </c>
      <c r="C160" t="s">
        <v>189</v>
      </c>
      <c r="D160" t="s">
        <v>179</v>
      </c>
      <c r="E160" t="s">
        <v>228</v>
      </c>
      <c r="F160">
        <v>39407267</v>
      </c>
      <c r="G160" t="s">
        <v>19</v>
      </c>
      <c r="H160" t="str">
        <f>_xlfn.XLOOKUP(G160,产品资料!C:C,产品资料!E:E)</f>
        <v xml:space="preserve">4609底盖小加强板（0.8MM ) </v>
      </c>
      <c r="I160" s="23" t="str">
        <f>_xlfn.XLOOKUP(G160,产品资料!C:C,产品资料!F:F)</f>
        <v>0.8*119*1162</v>
      </c>
      <c r="J160">
        <f>56*Q160-K160</f>
        <v>278</v>
      </c>
      <c r="K160">
        <v>2</v>
      </c>
      <c r="L160" s="28">
        <f>_xlfn.XLOOKUP(G160,产品资料!C:C,产品资料!O:O)*J160</f>
        <v>239.04041279999996</v>
      </c>
      <c r="M160" s="31">
        <f>IFERROR(_xlfn.XLOOKUP(G160,产品资料!C:C,产品资料!L:L)*J160,0)</f>
        <v>712.23599999999999</v>
      </c>
      <c r="N160">
        <f>IFERROR(_xlfn.XLOOKUP(G160,产品资料!C:C,产品资料!M:M)*J160,0)</f>
        <v>2224</v>
      </c>
      <c r="O160" s="51" t="s">
        <v>247</v>
      </c>
      <c r="P160" s="23">
        <f>IF(ISNUMBER(SEARCH("合包",R160)),SUMIFS(J:J,G:G,G:G,F:F,F:F)-SUMIFS(打包记录!J:J,打包记录!G:G,G:G,打包记录!F:F,F:F),SUMIFS(J:J,D:D,D:D,G:G,G:G,F:F,F:F)-SUMIFS(打包记录!J:J,打包记录!D:D,D:D,打包记录!G:G,G:G,打包记录!F:F,F:F))</f>
        <v>571</v>
      </c>
      <c r="Q160">
        <v>5</v>
      </c>
    </row>
    <row r="161" spans="1:18" ht="14.25" customHeight="1" x14ac:dyDescent="0.15">
      <c r="A161">
        <v>157</v>
      </c>
      <c r="B161" s="21">
        <v>46254</v>
      </c>
      <c r="C161" t="s">
        <v>189</v>
      </c>
      <c r="D161" t="s">
        <v>179</v>
      </c>
      <c r="E161" t="s">
        <v>228</v>
      </c>
      <c r="F161">
        <v>39407267</v>
      </c>
      <c r="G161" t="s">
        <v>40</v>
      </c>
      <c r="H161" t="str">
        <f>_xlfn.XLOOKUP(G161,产品资料!C:C,产品资料!E:E)</f>
        <v>4609底盖（0.8MM)</v>
      </c>
      <c r="I161" s="23" t="str">
        <f>_xlfn.XLOOKUP(G161,产品资料!C:C,产品资料!F:F)</f>
        <v>0.8*552.5*1211</v>
      </c>
      <c r="J161">
        <f>56*Q161-K161</f>
        <v>442</v>
      </c>
      <c r="K161">
        <v>6</v>
      </c>
      <c r="L161" s="28">
        <f>_xlfn.XLOOKUP(G161,产品资料!C:C,产品资料!O:O)*J161</f>
        <v>1837.1645136000002</v>
      </c>
      <c r="M161" s="31">
        <f>IFERROR(_xlfn.XLOOKUP(G161,产品资料!C:C,产品资料!L:L)*J161,0)</f>
        <v>1582.8019999999999</v>
      </c>
      <c r="N161">
        <f>IFERROR(_xlfn.XLOOKUP(G161,产品资料!C:C,产品资料!M:M)*J161,0)</f>
        <v>7072</v>
      </c>
      <c r="O161" s="51"/>
      <c r="P161" s="23">
        <f>IF(ISNUMBER(SEARCH("合包",R161)),SUMIFS(J:J,G:G,G:G,F:F,F:F)-SUMIFS(打包记录!J:J,打包记录!G:G,G:G,打包记录!F:F,F:F),SUMIFS(J:J,D:D,D:D,G:G,G:G,F:F,F:F)-SUMIFS(打包记录!J:J,打包记录!D:D,D:D,打包记录!G:G,G:G,打包记录!F:F,F:F))</f>
        <v>152</v>
      </c>
      <c r="Q161">
        <v>8</v>
      </c>
    </row>
    <row r="162" spans="1:18" ht="14.25" customHeight="1" x14ac:dyDescent="0.15">
      <c r="A162">
        <v>158</v>
      </c>
      <c r="B162" s="21">
        <v>46254</v>
      </c>
      <c r="C162" t="s">
        <v>189</v>
      </c>
      <c r="D162" t="s">
        <v>179</v>
      </c>
      <c r="E162" t="s">
        <v>228</v>
      </c>
      <c r="F162">
        <v>39407267</v>
      </c>
      <c r="G162" t="s">
        <v>65</v>
      </c>
      <c r="H162" t="str">
        <f>_xlfn.XLOOKUP(G162,产品资料!C:C,产品资料!E:E)</f>
        <v>4609中隔板(0.8MM)</v>
      </c>
      <c r="I162" s="23" t="str">
        <f>_xlfn.XLOOKUP(G162,产品资料!C:C,产品资料!F:F)</f>
        <v>0.8*481.5*550</v>
      </c>
      <c r="J162">
        <f>56*Q162-K162</f>
        <v>224</v>
      </c>
      <c r="L162" s="28">
        <f>_xlfn.XLOOKUP(G162,产品资料!C:C,产品资料!O:O)*J162</f>
        <v>371.89456640000003</v>
      </c>
      <c r="M162" s="31">
        <f>IFERROR(_xlfn.XLOOKUP(G162,产品资料!C:C,产品资料!L:L)*J162,0)</f>
        <v>462.11200000000002</v>
      </c>
      <c r="N162">
        <f>IFERROR(_xlfn.XLOOKUP(G162,产品资料!C:C,产品资料!M:M)*J162,0)</f>
        <v>3360</v>
      </c>
      <c r="O162" s="51"/>
      <c r="P162" s="23">
        <f>IF(ISNUMBER(SEARCH("合包",R162)),SUMIFS(J:J,G:G,G:G,F:F,F:F)-SUMIFS(打包记录!J:J,打包记录!G:G,G:G,打包记录!F:F,F:F),SUMIFS(J:J,D:D,D:D,G:G,G:G,F:F,F:F)-SUMIFS(打包记录!J:J,打包记录!D:D,D:D,打包记录!G:G,G:G,打包记录!F:F,F:F))</f>
        <v>199</v>
      </c>
      <c r="Q162">
        <v>4</v>
      </c>
    </row>
    <row r="163" spans="1:18" ht="14.25" customHeight="1" x14ac:dyDescent="0.15">
      <c r="A163">
        <v>159</v>
      </c>
      <c r="B163" s="21">
        <v>46254</v>
      </c>
      <c r="C163" t="s">
        <v>189</v>
      </c>
      <c r="D163" s="24" t="s">
        <v>182</v>
      </c>
      <c r="E163" t="s">
        <v>228</v>
      </c>
      <c r="F163">
        <v>39407267</v>
      </c>
      <c r="G163" t="s">
        <v>55</v>
      </c>
      <c r="H163" t="str">
        <f>_xlfn.XLOOKUP(G163,产品资料!C:C,产品资料!E:E)</f>
        <v>4609左内垫板(0.8MM)</v>
      </c>
      <c r="I163" s="23" t="str">
        <f>_xlfn.XLOOKUP(G163,产品资料!C:C,产品资料!F:F)</f>
        <v>0.8*152*662</v>
      </c>
      <c r="J163">
        <f t="shared" ref="J163:J170" si="11">61*Q163-K163</f>
        <v>483</v>
      </c>
      <c r="K163">
        <v>5</v>
      </c>
      <c r="L163" s="28">
        <f>_xlfn.XLOOKUP(G163,产品资料!C:C,产品资料!O:O)*J163</f>
        <v>297.56084400000003</v>
      </c>
      <c r="M163" s="31">
        <f>IFERROR(_xlfn.XLOOKUP(G163,产品资料!C:C,产品资料!L:L)*J163,0)</f>
        <v>857.80799999999999</v>
      </c>
      <c r="N163">
        <f>IFERROR(_xlfn.XLOOKUP(G163,产品资料!C:C,产品资料!M:M)*J163,0)</f>
        <v>2898</v>
      </c>
      <c r="O163" s="51" t="s">
        <v>248</v>
      </c>
      <c r="P163" s="23">
        <f>IF(ISNUMBER(SEARCH("合包",R163)),SUMIFS(J:J,G:G,G:G,F:F,F:F)-SUMIFS(打包记录!J:J,打包记录!G:G,G:G,打包记录!F:F,F:F),SUMIFS(J:J,D:D,D:D,G:G,G:G,F:F,F:F)-SUMIFS(打包记录!J:J,打包记录!D:D,D:D,打包记录!G:G,G:G,打包记录!F:F,F:F))</f>
        <v>4</v>
      </c>
      <c r="Q163">
        <v>8</v>
      </c>
    </row>
    <row r="164" spans="1:18" ht="14.25" customHeight="1" x14ac:dyDescent="0.15">
      <c r="A164">
        <v>160</v>
      </c>
      <c r="B164" s="21">
        <v>46254</v>
      </c>
      <c r="C164" t="s">
        <v>189</v>
      </c>
      <c r="D164" s="24" t="s">
        <v>182</v>
      </c>
      <c r="E164" t="s">
        <v>228</v>
      </c>
      <c r="F164">
        <v>39407267</v>
      </c>
      <c r="G164" t="s">
        <v>60</v>
      </c>
      <c r="H164" t="str">
        <f>_xlfn.XLOOKUP(G164,产品资料!C:C,产品资料!E:E)</f>
        <v>4609后内垫板大槽(0.8MM)</v>
      </c>
      <c r="I164" s="23" t="str">
        <f>_xlfn.XLOOKUP(G164,产品资料!C:C,产品资料!F:F)</f>
        <v>0.8*145*754.5</v>
      </c>
      <c r="J164">
        <f t="shared" si="11"/>
        <v>486</v>
      </c>
      <c r="K164">
        <v>2</v>
      </c>
      <c r="L164" s="28">
        <f>_xlfn.XLOOKUP(G164,产品资料!C:C,产品资料!O:O)*J164</f>
        <v>333.65338559999998</v>
      </c>
      <c r="M164" s="31">
        <f>IFERROR(_xlfn.XLOOKUP(G164,产品资料!C:C,产品资料!L:L)*J164,0)</f>
        <v>874.31399999999996</v>
      </c>
      <c r="N164">
        <f>IFERROR(_xlfn.XLOOKUP(G164,产品资料!C:C,产品资料!M:M)*J164,0)</f>
        <v>2916</v>
      </c>
      <c r="O164" s="51"/>
      <c r="P164" s="23">
        <f>IF(ISNUMBER(SEARCH("合包",R164)),SUMIFS(J:J,G:G,G:G,F:F,F:F)-SUMIFS(打包记录!J:J,打包记录!G:G,G:G,打包记录!F:F,F:F),SUMIFS(J:J,D:D,D:D,G:G,G:G,F:F,F:F)-SUMIFS(打包记录!J:J,打包记录!D:D,D:D,打包记录!G:G,G:G,打包记录!F:F,F:F))</f>
        <v>4</v>
      </c>
      <c r="Q164">
        <v>8</v>
      </c>
    </row>
    <row r="165" spans="1:18" ht="14.25" customHeight="1" x14ac:dyDescent="0.15">
      <c r="A165">
        <v>161</v>
      </c>
      <c r="B165" s="21">
        <v>46254</v>
      </c>
      <c r="C165" t="s">
        <v>189</v>
      </c>
      <c r="D165" s="24" t="s">
        <v>182</v>
      </c>
      <c r="E165" t="s">
        <v>228</v>
      </c>
      <c r="F165">
        <v>39407267</v>
      </c>
      <c r="G165" t="s">
        <v>90</v>
      </c>
      <c r="H165" t="str">
        <f>_xlfn.XLOOKUP(G165,产品资料!C:C,产品资料!E:E)</f>
        <v>4609顶长抽斗(0.8MM)</v>
      </c>
      <c r="I165" s="23" t="str">
        <f>_xlfn.XLOOKUP(G165,产品资料!C:C,产品资料!F:F)</f>
        <v>0.8*418*1210</v>
      </c>
      <c r="J165">
        <f t="shared" si="11"/>
        <v>239</v>
      </c>
      <c r="K165">
        <v>5</v>
      </c>
      <c r="L165" s="28">
        <f>_xlfn.XLOOKUP(G165,产品资料!C:C,产品资料!O:O)*J165</f>
        <v>756.37362480000002</v>
      </c>
      <c r="M165" s="31">
        <f>IFERROR(_xlfn.XLOOKUP(G165,产品资料!C:C,产品资料!L:L)*J165,0)</f>
        <v>789.178</v>
      </c>
      <c r="N165">
        <f>IFERROR(_xlfn.XLOOKUP(G165,产品资料!C:C,产品资料!M:M)*J165,0)</f>
        <v>2868</v>
      </c>
      <c r="O165" s="51"/>
      <c r="P165" s="23">
        <f>IF(ISNUMBER(SEARCH("合包",R165)),SUMIFS(J:J,G:G,G:G,F:F,F:F)-SUMIFS(打包记录!J:J,打包记录!G:G,G:G,打包记录!F:F,F:F),SUMIFS(J:J,D:D,D:D,G:G,G:G,F:F,F:F)-SUMIFS(打包记录!J:J,打包记录!D:D,D:D,打包记录!G:G,G:G,打包记录!F:F,F:F))</f>
        <v>-194</v>
      </c>
      <c r="Q165">
        <v>4</v>
      </c>
    </row>
    <row r="166" spans="1:18" ht="14.25" customHeight="1" x14ac:dyDescent="0.15">
      <c r="A166">
        <v>162</v>
      </c>
      <c r="B166" s="21">
        <v>46254</v>
      </c>
      <c r="C166" t="s">
        <v>189</v>
      </c>
      <c r="D166" s="24" t="s">
        <v>182</v>
      </c>
      <c r="E166" t="s">
        <v>228</v>
      </c>
      <c r="F166">
        <v>39407267</v>
      </c>
      <c r="G166" t="s">
        <v>100</v>
      </c>
      <c r="H166" t="str">
        <f>_xlfn.XLOOKUP(G166,产品资料!C:C,产品资料!E:E)</f>
        <v>4609小抽斗(0.8MM)</v>
      </c>
      <c r="I166" s="23" t="str">
        <f>_xlfn.XLOOKUP(G166,产品资料!C:C,产品资料!F:F)</f>
        <v>0.8*418*603</v>
      </c>
      <c r="J166">
        <f t="shared" si="11"/>
        <v>483</v>
      </c>
      <c r="K166">
        <v>5</v>
      </c>
      <c r="L166" s="28">
        <f>_xlfn.XLOOKUP(G166,产品资料!C:C,产品资料!O:O)*J166</f>
        <v>759.58396079999989</v>
      </c>
      <c r="M166" s="31">
        <f>IFERROR(_xlfn.XLOOKUP(G166,产品资料!C:C,产品资料!L:L)*J166,0)</f>
        <v>1008.987</v>
      </c>
      <c r="N166">
        <f>IFERROR(_xlfn.XLOOKUP(G166,产品资料!C:C,产品资料!M:M)*J166,0)</f>
        <v>5796</v>
      </c>
      <c r="O166" s="51"/>
      <c r="P166" s="23">
        <f>IF(ISNUMBER(SEARCH("合包",R166)),SUMIFS(J:J,G:G,G:G,F:F,F:F)-SUMIFS(打包记录!J:J,打包记录!G:G,G:G,打包记录!F:F,F:F),SUMIFS(J:J,D:D,D:D,G:G,G:G,F:F,F:F)-SUMIFS(打包记录!J:J,打包记录!D:D,D:D,打包记录!G:G,G:G,打包记录!F:F,F:F))</f>
        <v>3</v>
      </c>
      <c r="Q166">
        <v>8</v>
      </c>
    </row>
    <row r="167" spans="1:18" ht="14.25" customHeight="1" x14ac:dyDescent="0.15">
      <c r="A167">
        <v>163</v>
      </c>
      <c r="B167" s="21">
        <v>46254</v>
      </c>
      <c r="C167" t="s">
        <v>189</v>
      </c>
      <c r="D167" s="24" t="s">
        <v>182</v>
      </c>
      <c r="E167" t="s">
        <v>228</v>
      </c>
      <c r="F167">
        <v>39407267</v>
      </c>
      <c r="G167" t="s">
        <v>105</v>
      </c>
      <c r="H167" t="str">
        <f>_xlfn.XLOOKUP(G167,产品资料!C:C,产品资料!E:E)</f>
        <v>4609小拉手(0.8MM）</v>
      </c>
      <c r="I167" s="23" t="str">
        <f>_xlfn.XLOOKUP(G167,产品资料!C:C,产品资料!F:F)</f>
        <v>0.8*142*515</v>
      </c>
      <c r="J167">
        <f t="shared" si="11"/>
        <v>488</v>
      </c>
      <c r="L167" s="28">
        <f>_xlfn.XLOOKUP(G167,产品资料!C:C,产品资料!O:O)*J167</f>
        <v>223.07514559999998</v>
      </c>
      <c r="M167" s="31">
        <f>IFERROR(_xlfn.XLOOKUP(G167,产品资料!C:C,产品资料!L:L)*J167,0)</f>
        <v>638.30399999999997</v>
      </c>
      <c r="N167">
        <f>IFERROR(_xlfn.XLOOKUP(G167,产品资料!C:C,产品资料!M:M)*J167,0)</f>
        <v>0</v>
      </c>
      <c r="O167" s="51"/>
      <c r="P167" s="23">
        <f>IF(ISNUMBER(SEARCH("合包",R167)),SUMIFS(J:J,G:G,G:G,F:F,F:F)-SUMIFS(打包记录!J:J,打包记录!G:G,G:G,打包记录!F:F,F:F),SUMIFS(J:J,D:D,D:D,G:G,G:G,F:F,F:F)-SUMIFS(打包记录!J:J,打包记录!D:D,D:D,打包记录!G:G,G:G,打包记录!F:F,F:F))</f>
        <v>4</v>
      </c>
      <c r="Q167">
        <v>8</v>
      </c>
    </row>
    <row r="168" spans="1:18" ht="14.25" customHeight="1" x14ac:dyDescent="0.15">
      <c r="A168">
        <v>164</v>
      </c>
      <c r="B168" s="21">
        <v>46254</v>
      </c>
      <c r="C168" t="s">
        <v>189</v>
      </c>
      <c r="D168" s="24" t="s">
        <v>182</v>
      </c>
      <c r="E168" t="s">
        <v>228</v>
      </c>
      <c r="F168">
        <v>39407267</v>
      </c>
      <c r="G168" t="s">
        <v>110</v>
      </c>
      <c r="H168" t="str">
        <f>_xlfn.XLOOKUP(G168,产品资料!C:C,产品资料!E:E)</f>
        <v>4609中抽斗(0.8MM)</v>
      </c>
      <c r="I168" s="23" t="str">
        <f>_xlfn.XLOOKUP(G168,产品资料!C:C,产品资料!F:F)</f>
        <v>0.8*418*639</v>
      </c>
      <c r="J168">
        <f t="shared" si="11"/>
        <v>483</v>
      </c>
      <c r="K168">
        <v>5</v>
      </c>
      <c r="L168" s="28">
        <f>_xlfn.XLOOKUP(G168,产品资料!C:C,产品资料!O:O)*J168</f>
        <v>805.2342228</v>
      </c>
      <c r="M168" s="31">
        <f>IFERROR(_xlfn.XLOOKUP(G168,产品资料!C:C,产品资料!L:L)*J168,0)</f>
        <v>1043.7629999999999</v>
      </c>
      <c r="N168">
        <f>IFERROR(_xlfn.XLOOKUP(G168,产品资料!C:C,产品资料!M:M)*J168,0)</f>
        <v>5796</v>
      </c>
      <c r="O168" s="51"/>
      <c r="P168" s="23">
        <f>IF(ISNUMBER(SEARCH("合包",R168)),SUMIFS(J:J,G:G,G:G,F:F,F:F)-SUMIFS(打包记录!J:J,打包记录!G:G,G:G,打包记录!F:F,F:F),SUMIFS(J:J,D:D,D:D,G:G,G:G,F:F,F:F)-SUMIFS(打包记录!J:J,打包记录!D:D,D:D,打包记录!G:G,G:G,打包记录!F:F,F:F))</f>
        <v>2</v>
      </c>
      <c r="Q168">
        <v>8</v>
      </c>
    </row>
    <row r="169" spans="1:18" ht="14.25" customHeight="1" x14ac:dyDescent="0.15">
      <c r="A169">
        <v>165</v>
      </c>
      <c r="B169" s="21">
        <v>46254</v>
      </c>
      <c r="C169" t="s">
        <v>189</v>
      </c>
      <c r="D169" s="24" t="s">
        <v>182</v>
      </c>
      <c r="E169" t="s">
        <v>228</v>
      </c>
      <c r="F169">
        <v>39407267</v>
      </c>
      <c r="G169" t="s">
        <v>115</v>
      </c>
      <c r="H169" t="str">
        <f>_xlfn.XLOOKUP(G169,产品资料!C:C,产品资料!E:E)</f>
        <v>4609中拉手(0.8MM）</v>
      </c>
      <c r="I169" s="23" t="str">
        <f>_xlfn.XLOOKUP(G169,产品资料!C:C,产品资料!F:F)</f>
        <v>0.8*155*515</v>
      </c>
      <c r="J169">
        <f t="shared" si="11"/>
        <v>484</v>
      </c>
      <c r="K169">
        <v>4</v>
      </c>
      <c r="L169" s="28">
        <f>_xlfn.XLOOKUP(G169,产品资料!C:C,产品资料!O:O)*J169</f>
        <v>241.5810496</v>
      </c>
      <c r="M169" s="31">
        <f>IFERROR(_xlfn.XLOOKUP(G169,产品资料!C:C,产品资料!L:L)*J169,0)</f>
        <v>645.65600000000006</v>
      </c>
      <c r="N169">
        <f>IFERROR(_xlfn.XLOOKUP(G169,产品资料!C:C,产品资料!M:M)*J169,0)</f>
        <v>0</v>
      </c>
      <c r="O169" s="51"/>
      <c r="P169" s="23">
        <f>IF(ISNUMBER(SEARCH("合包",R169)),SUMIFS(J:J,G:G,G:G,F:F,F:F)-SUMIFS(打包记录!J:J,打包记录!G:G,G:G,打包记录!F:F,F:F),SUMIFS(J:J,D:D,D:D,G:G,G:G,F:F,F:F)-SUMIFS(打包记录!J:J,打包记录!D:D,D:D,打包记录!G:G,G:G,打包记录!F:F,F:F))</f>
        <v>10</v>
      </c>
      <c r="Q169">
        <v>8</v>
      </c>
    </row>
    <row r="170" spans="1:18" ht="14.25" customHeight="1" x14ac:dyDescent="0.15">
      <c r="A170">
        <v>166</v>
      </c>
      <c r="B170" s="21">
        <v>46254</v>
      </c>
      <c r="C170" t="s">
        <v>189</v>
      </c>
      <c r="D170" s="24" t="s">
        <v>182</v>
      </c>
      <c r="E170" t="s">
        <v>228</v>
      </c>
      <c r="F170">
        <v>39407267</v>
      </c>
      <c r="G170" t="s">
        <v>125</v>
      </c>
      <c r="H170" t="str">
        <f>_xlfn.XLOOKUP(G170,产品资料!C:C,产品资料!E:E)</f>
        <v>4609大拉手(0.8MM）</v>
      </c>
      <c r="I170" s="23" t="str">
        <f>_xlfn.XLOOKUP(G170,产品资料!C:C,产品资料!F:F)</f>
        <v>0.8*303*515</v>
      </c>
      <c r="J170">
        <f t="shared" si="11"/>
        <v>1952</v>
      </c>
      <c r="L170" s="28">
        <f>_xlfn.XLOOKUP(G170,产品资料!C:C,产品资料!O:O)*J170</f>
        <v>1908.657792</v>
      </c>
      <c r="M170" s="31">
        <f>IFERROR(_xlfn.XLOOKUP(G170,产品资料!C:C,产品资料!L:L)*J170,0)</f>
        <v>3181.7599999999998</v>
      </c>
      <c r="N170">
        <f>IFERROR(_xlfn.XLOOKUP(G170,产品资料!C:C,产品资料!M:M)*J170,0)</f>
        <v>0</v>
      </c>
      <c r="O170" s="51"/>
      <c r="P170" s="23">
        <f>IF(ISNUMBER(SEARCH("合包",R170)),SUMIFS(J:J,G:G,G:G,F:F,F:F)-SUMIFS(打包记录!J:J,打包记录!G:G,G:G,打包记录!F:F,F:F),SUMIFS(J:J,D:D,D:D,G:G,G:G,F:F,F:F)-SUMIFS(打包记录!J:J,打包记录!D:D,D:D,打包记录!G:G,G:G,打包记录!F:F,F:F))</f>
        <v>3</v>
      </c>
      <c r="Q170">
        <v>32</v>
      </c>
    </row>
    <row r="171" spans="1:18" ht="14.25" customHeight="1" x14ac:dyDescent="0.15">
      <c r="A171">
        <v>167</v>
      </c>
      <c r="B171" s="21">
        <v>46254</v>
      </c>
      <c r="C171" t="s">
        <v>189</v>
      </c>
      <c r="D171" s="24" t="s">
        <v>182</v>
      </c>
      <c r="E171" t="s">
        <v>228</v>
      </c>
      <c r="F171">
        <v>39407267</v>
      </c>
      <c r="G171" t="s">
        <v>55</v>
      </c>
      <c r="H171" t="str">
        <f>_xlfn.XLOOKUP(G171,产品资料!C:C,产品资料!E:E)</f>
        <v>4609左内垫板(0.8MM)</v>
      </c>
      <c r="I171" s="23" t="str">
        <f>_xlfn.XLOOKUP(G171,产品资料!C:C,产品资料!F:F)</f>
        <v>0.8*152*662</v>
      </c>
      <c r="J171">
        <f t="shared" ref="J171:J176" si="12">14*Q171-K171</f>
        <v>56</v>
      </c>
      <c r="L171" s="28">
        <f>_xlfn.XLOOKUP(G171,产品资料!C:C,产品资料!O:O)*J171</f>
        <v>34.499808000000002</v>
      </c>
      <c r="M171" s="31">
        <f>IFERROR(_xlfn.XLOOKUP(G171,产品资料!C:C,产品资料!L:L)*J171,0)</f>
        <v>99.456000000000003</v>
      </c>
      <c r="N171">
        <f>IFERROR(_xlfn.XLOOKUP(G171,产品资料!C:C,产品资料!M:M)*J171,0)</f>
        <v>336</v>
      </c>
      <c r="O171" s="51" t="s">
        <v>249</v>
      </c>
      <c r="P171" s="23">
        <f>IF(ISNUMBER(SEARCH("合包",R171)),SUMIFS(J:J,G:G,G:G,F:F,F:F)-SUMIFS(打包记录!J:J,打包记录!G:G,G:G,打包记录!F:F,F:F),SUMIFS(J:J,D:D,D:D,G:G,G:G,F:F,F:F)-SUMIFS(打包记录!J:J,打包记录!D:D,D:D,打包记录!G:G,G:G,打包记录!F:F,F:F))</f>
        <v>4</v>
      </c>
      <c r="Q171">
        <v>4</v>
      </c>
    </row>
    <row r="172" spans="1:18" ht="14.25" customHeight="1" x14ac:dyDescent="0.15">
      <c r="A172">
        <v>168</v>
      </c>
      <c r="B172" s="21">
        <v>46254</v>
      </c>
      <c r="C172" t="s">
        <v>189</v>
      </c>
      <c r="D172" s="24" t="s">
        <v>182</v>
      </c>
      <c r="E172" t="s">
        <v>228</v>
      </c>
      <c r="F172">
        <v>39407267</v>
      </c>
      <c r="G172" t="s">
        <v>65</v>
      </c>
      <c r="H172" t="str">
        <f>_xlfn.XLOOKUP(G172,产品资料!C:C,产品资料!E:E)</f>
        <v>4609中隔板(0.8MM)</v>
      </c>
      <c r="I172" s="23" t="str">
        <f>_xlfn.XLOOKUP(G172,产品资料!C:C,产品资料!F:F)</f>
        <v>0.8*481.5*550</v>
      </c>
      <c r="J172">
        <f t="shared" si="12"/>
        <v>224</v>
      </c>
      <c r="L172" s="28">
        <f>_xlfn.XLOOKUP(G172,产品资料!C:C,产品资料!O:O)*J172</f>
        <v>371.89456640000003</v>
      </c>
      <c r="M172" s="31">
        <f>IFERROR(_xlfn.XLOOKUP(G172,产品资料!C:C,产品资料!L:L)*J172,0)</f>
        <v>462.11200000000002</v>
      </c>
      <c r="N172">
        <f>IFERROR(_xlfn.XLOOKUP(G172,产品资料!C:C,产品资料!M:M)*J172,0)</f>
        <v>3360</v>
      </c>
      <c r="O172" s="51"/>
      <c r="P172" s="23">
        <f>IF(ISNUMBER(SEARCH("合包",R172)),SUMIFS(J:J,G:G,G:G,F:F,F:F)-SUMIFS(打包记录!J:J,打包记录!G:G,G:G,打包记录!F:F,F:F),SUMIFS(J:J,D:D,D:D,G:G,G:G,F:F,F:F)-SUMIFS(打包记录!J:J,打包记录!D:D,D:D,打包记录!G:G,G:G,打包记录!F:F,F:F))</f>
        <v>2</v>
      </c>
      <c r="Q172">
        <v>16</v>
      </c>
      <c r="R172" t="s">
        <v>166</v>
      </c>
    </row>
    <row r="173" spans="1:18" ht="14.25" customHeight="1" x14ac:dyDescent="0.15">
      <c r="A173">
        <v>169</v>
      </c>
      <c r="B173" s="21">
        <v>46254</v>
      </c>
      <c r="C173" t="s">
        <v>189</v>
      </c>
      <c r="D173" s="24" t="s">
        <v>182</v>
      </c>
      <c r="E173" t="s">
        <v>228</v>
      </c>
      <c r="F173">
        <v>39407267</v>
      </c>
      <c r="G173" t="s">
        <v>100</v>
      </c>
      <c r="H173" t="str">
        <f>_xlfn.XLOOKUP(G173,产品资料!C:C,产品资料!E:E)</f>
        <v>4609小抽斗(0.8MM)</v>
      </c>
      <c r="I173" s="23" t="str">
        <f>_xlfn.XLOOKUP(G173,产品资料!C:C,产品资料!F:F)</f>
        <v>0.8*418*603</v>
      </c>
      <c r="J173">
        <f t="shared" si="12"/>
        <v>280</v>
      </c>
      <c r="L173" s="28">
        <f>_xlfn.XLOOKUP(G173,产品资料!C:C,产品资料!O:O)*J173</f>
        <v>440.33852799999994</v>
      </c>
      <c r="M173" s="31">
        <f>IFERROR(_xlfn.XLOOKUP(G173,产品资料!C:C,产品资料!L:L)*J173,0)</f>
        <v>584.91999999999996</v>
      </c>
      <c r="N173">
        <f>IFERROR(_xlfn.XLOOKUP(G173,产品资料!C:C,产品资料!M:M)*J173,0)</f>
        <v>3360</v>
      </c>
      <c r="O173" s="51"/>
      <c r="P173" s="23">
        <f>IF(ISNUMBER(SEARCH("合包",R173)),SUMIFS(J:J,G:G,G:G,F:F,F:F)-SUMIFS(打包记录!J:J,打包记录!G:G,G:G,打包记录!F:F,F:F),SUMIFS(J:J,D:D,D:D,G:G,G:G,F:F,F:F)-SUMIFS(打包记录!J:J,打包记录!D:D,D:D,打包记录!G:G,G:G,打包记录!F:F,F:F))</f>
        <v>3</v>
      </c>
      <c r="Q173">
        <v>20</v>
      </c>
    </row>
    <row r="174" spans="1:18" ht="14.25" customHeight="1" x14ac:dyDescent="0.15">
      <c r="A174">
        <v>170</v>
      </c>
      <c r="B174" s="21">
        <v>46254</v>
      </c>
      <c r="C174" t="s">
        <v>189</v>
      </c>
      <c r="D174" s="24" t="s">
        <v>182</v>
      </c>
      <c r="E174" t="s">
        <v>228</v>
      </c>
      <c r="F174">
        <v>39407267</v>
      </c>
      <c r="G174" t="s">
        <v>105</v>
      </c>
      <c r="H174" t="str">
        <f>_xlfn.XLOOKUP(G174,产品资料!C:C,产品资料!E:E)</f>
        <v>4609小拉手(0.8MM）</v>
      </c>
      <c r="I174" s="23" t="str">
        <f>_xlfn.XLOOKUP(G174,产品资料!C:C,产品资料!F:F)</f>
        <v>0.8*142*515</v>
      </c>
      <c r="J174">
        <f t="shared" si="12"/>
        <v>112</v>
      </c>
      <c r="L174" s="28">
        <f>_xlfn.XLOOKUP(G174,产品资料!C:C,产品资料!O:O)*J174</f>
        <v>51.197574399999993</v>
      </c>
      <c r="M174" s="31">
        <f>IFERROR(_xlfn.XLOOKUP(G174,产品资料!C:C,产品资料!L:L)*J174,0)</f>
        <v>146.49600000000001</v>
      </c>
      <c r="N174">
        <f>IFERROR(_xlfn.XLOOKUP(G174,产品资料!C:C,产品资料!M:M)*J174,0)</f>
        <v>0</v>
      </c>
      <c r="O174" s="51"/>
      <c r="P174" s="23">
        <f>IF(ISNUMBER(SEARCH("合包",R174)),SUMIFS(J:J,G:G,G:G,F:F,F:F)-SUMIFS(打包记录!J:J,打包记录!G:G,G:G,打包记录!F:F,F:F),SUMIFS(J:J,D:D,D:D,G:G,G:G,F:F,F:F)-SUMIFS(打包记录!J:J,打包记录!D:D,D:D,打包记录!G:G,G:G,打包记录!F:F,F:F))</f>
        <v>4</v>
      </c>
      <c r="Q174">
        <v>8</v>
      </c>
    </row>
    <row r="175" spans="1:18" ht="14.25" customHeight="1" x14ac:dyDescent="0.15">
      <c r="A175">
        <v>171</v>
      </c>
      <c r="B175" s="21">
        <v>46254</v>
      </c>
      <c r="C175" t="s">
        <v>189</v>
      </c>
      <c r="D175" s="24" t="s">
        <v>182</v>
      </c>
      <c r="E175" t="s">
        <v>228</v>
      </c>
      <c r="F175">
        <v>39407267</v>
      </c>
      <c r="G175" t="s">
        <v>115</v>
      </c>
      <c r="H175" t="str">
        <f>_xlfn.XLOOKUP(G175,产品资料!C:C,产品资料!E:E)</f>
        <v>4609中拉手(0.8MM）</v>
      </c>
      <c r="I175" s="23" t="str">
        <f>_xlfn.XLOOKUP(G175,产品资料!C:C,产品资料!F:F)</f>
        <v>0.8*155*515</v>
      </c>
      <c r="J175">
        <f t="shared" si="12"/>
        <v>280</v>
      </c>
      <c r="L175" s="28">
        <f>_xlfn.XLOOKUP(G175,产品资料!C:C,产品资料!O:O)*J175</f>
        <v>139.757632</v>
      </c>
      <c r="M175" s="31">
        <f>IFERROR(_xlfn.XLOOKUP(G175,产品资料!C:C,产品资料!L:L)*J175,0)</f>
        <v>373.52000000000004</v>
      </c>
      <c r="N175">
        <f>IFERROR(_xlfn.XLOOKUP(G175,产品资料!C:C,产品资料!M:M)*J175,0)</f>
        <v>0</v>
      </c>
      <c r="O175" s="51"/>
      <c r="P175" s="23">
        <f>IF(ISNUMBER(SEARCH("合包",R175)),SUMIFS(J:J,G:G,G:G,F:F,F:F)-SUMIFS(打包记录!J:J,打包记录!G:G,G:G,打包记录!F:F,F:F),SUMIFS(J:J,D:D,D:D,G:G,G:G,F:F,F:F)-SUMIFS(打包记录!J:J,打包记录!D:D,D:D,打包记录!G:G,G:G,打包记录!F:F,F:F))</f>
        <v>10</v>
      </c>
      <c r="Q175">
        <v>20</v>
      </c>
    </row>
    <row r="176" spans="1:18" ht="14.25" customHeight="1" x14ac:dyDescent="0.15">
      <c r="A176">
        <v>172</v>
      </c>
      <c r="B176" s="21">
        <v>46254</v>
      </c>
      <c r="C176" t="s">
        <v>189</v>
      </c>
      <c r="D176" s="24" t="s">
        <v>182</v>
      </c>
      <c r="E176" t="s">
        <v>228</v>
      </c>
      <c r="F176">
        <v>39407267</v>
      </c>
      <c r="G176" t="s">
        <v>110</v>
      </c>
      <c r="H176" t="str">
        <f>_xlfn.XLOOKUP(G176,产品资料!C:C,产品资料!E:E)</f>
        <v>4609中抽斗(0.8MM)</v>
      </c>
      <c r="I176" s="23" t="str">
        <f>_xlfn.XLOOKUP(G176,产品资料!C:C,产品资料!F:F)</f>
        <v>0.8*418*639</v>
      </c>
      <c r="J176">
        <f t="shared" si="12"/>
        <v>56</v>
      </c>
      <c r="L176" s="28">
        <f>_xlfn.XLOOKUP(G176,产品资料!C:C,产品资料!O:O)*J176</f>
        <v>93.360489599999994</v>
      </c>
      <c r="M176" s="31">
        <f>IFERROR(_xlfn.XLOOKUP(G176,产品资料!C:C,产品资料!L:L)*J176,0)</f>
        <v>121.01600000000001</v>
      </c>
      <c r="N176">
        <f>IFERROR(_xlfn.XLOOKUP(G176,产品资料!C:C,产品资料!M:M)*J176,0)</f>
        <v>672</v>
      </c>
      <c r="O176" s="51"/>
      <c r="P176" s="23">
        <f>IF(ISNUMBER(SEARCH("合包",R176)),SUMIFS(J:J,G:G,G:G,F:F,F:F)-SUMIFS(打包记录!J:J,打包记录!G:G,G:G,打包记录!F:F,F:F),SUMIFS(J:J,D:D,D:D,G:G,G:G,F:F,F:F)-SUMIFS(打包记录!J:J,打包记录!D:D,D:D,打包记录!G:G,G:G,打包记录!F:F,F:F))</f>
        <v>2</v>
      </c>
      <c r="Q176">
        <v>4</v>
      </c>
    </row>
    <row r="177" spans="1:18" ht="14.25" customHeight="1" x14ac:dyDescent="0.15">
      <c r="A177">
        <v>173</v>
      </c>
      <c r="B177" s="21">
        <v>46254</v>
      </c>
      <c r="C177" t="s">
        <v>190</v>
      </c>
      <c r="D177" s="24" t="s">
        <v>182</v>
      </c>
      <c r="E177" t="s">
        <v>228</v>
      </c>
      <c r="F177">
        <v>39407267</v>
      </c>
      <c r="G177" t="s">
        <v>55</v>
      </c>
      <c r="H177" t="str">
        <f>_xlfn.XLOOKUP(G177,产品资料!C:C,产品资料!E:E)</f>
        <v>4609左内垫板(0.8MM)</v>
      </c>
      <c r="I177" s="23" t="str">
        <f>_xlfn.XLOOKUP(G177,产品资料!C:C,产品资料!F:F)</f>
        <v>0.8*152*662</v>
      </c>
      <c r="J177">
        <f t="shared" ref="J177:J182" si="13">64*Q177-K177</f>
        <v>250</v>
      </c>
      <c r="K177">
        <v>6</v>
      </c>
      <c r="L177" s="28">
        <f>_xlfn.XLOOKUP(G177,产品资料!C:C,产品资料!O:O)*J177</f>
        <v>154.01700000000002</v>
      </c>
      <c r="M177" s="31">
        <f>IFERROR(_xlfn.XLOOKUP(G177,产品资料!C:C,产品资料!L:L)*J177,0)</f>
        <v>444</v>
      </c>
      <c r="N177">
        <f>IFERROR(_xlfn.XLOOKUP(G177,产品资料!C:C,产品资料!M:M)*J177,0)</f>
        <v>1500</v>
      </c>
      <c r="O177" s="51" t="s">
        <v>250</v>
      </c>
      <c r="P177" s="23">
        <f>IF(ISNUMBER(SEARCH("合包",R177)),SUMIFS(J:J,G:G,G:G,F:F,F:F)-SUMIFS(打包记录!J:J,打包记录!G:G,G:G,打包记录!F:F,F:F),SUMIFS(J:J,D:D,D:D,G:G,G:G,F:F,F:F)-SUMIFS(打包记录!J:J,打包记录!D:D,D:D,打包记录!G:G,G:G,打包记录!F:F,F:F))</f>
        <v>4</v>
      </c>
      <c r="Q177">
        <v>4</v>
      </c>
    </row>
    <row r="178" spans="1:18" ht="14.25" customHeight="1" x14ac:dyDescent="0.15">
      <c r="A178">
        <v>174</v>
      </c>
      <c r="B178" s="21">
        <v>46254</v>
      </c>
      <c r="C178" t="s">
        <v>190</v>
      </c>
      <c r="D178" s="24" t="s">
        <v>182</v>
      </c>
      <c r="E178" t="s">
        <v>228</v>
      </c>
      <c r="F178">
        <v>39407267</v>
      </c>
      <c r="G178" t="s">
        <v>65</v>
      </c>
      <c r="H178" t="str">
        <f>_xlfn.XLOOKUP(G178,产品资料!C:C,产品资料!E:E)</f>
        <v>4609中隔板(0.8MM)</v>
      </c>
      <c r="I178" s="23" t="str">
        <f>_xlfn.XLOOKUP(G178,产品资料!C:C,产品资料!F:F)</f>
        <v>0.8*481.5*550</v>
      </c>
      <c r="J178">
        <f t="shared" si="13"/>
        <v>988</v>
      </c>
      <c r="K178">
        <v>36</v>
      </c>
      <c r="L178" s="28">
        <f>_xlfn.XLOOKUP(G178,产品资料!C:C,产品资料!O:O)*J178</f>
        <v>1640.3206768</v>
      </c>
      <c r="M178" s="31">
        <f>IFERROR(_xlfn.XLOOKUP(G178,产品资料!C:C,产品资料!L:L)*J178,0)</f>
        <v>2038.2440000000001</v>
      </c>
      <c r="N178">
        <f>IFERROR(_xlfn.XLOOKUP(G178,产品资料!C:C,产品资料!M:M)*J178,0)</f>
        <v>14820</v>
      </c>
      <c r="O178" s="51"/>
      <c r="P178" s="23">
        <f>IF(ISNUMBER(SEARCH("合包",R178)),SUMIFS(J:J,G:G,G:G,F:F,F:F)-SUMIFS(打包记录!J:J,打包记录!G:G,G:G,打包记录!F:F,F:F),SUMIFS(J:J,D:D,D:D,G:G,G:G,F:F,F:F)-SUMIFS(打包记录!J:J,打包记录!D:D,D:D,打包记录!G:G,G:G,打包记录!F:F,F:F))</f>
        <v>2</v>
      </c>
      <c r="Q178">
        <v>16</v>
      </c>
      <c r="R178" t="s">
        <v>166</v>
      </c>
    </row>
    <row r="179" spans="1:18" ht="14.25" customHeight="1" x14ac:dyDescent="0.15">
      <c r="A179">
        <v>175</v>
      </c>
      <c r="B179" s="21">
        <v>46254</v>
      </c>
      <c r="C179" t="s">
        <v>190</v>
      </c>
      <c r="D179" s="24" t="s">
        <v>182</v>
      </c>
      <c r="E179" t="s">
        <v>228</v>
      </c>
      <c r="F179">
        <v>39407267</v>
      </c>
      <c r="G179" t="s">
        <v>100</v>
      </c>
      <c r="H179" t="str">
        <f>_xlfn.XLOOKUP(G179,产品资料!C:C,产品资料!E:E)</f>
        <v>4609小抽斗(0.8MM)</v>
      </c>
      <c r="I179" s="23" t="str">
        <f>_xlfn.XLOOKUP(G179,产品资料!C:C,产品资料!F:F)</f>
        <v>0.8*418*603</v>
      </c>
      <c r="J179">
        <f t="shared" si="13"/>
        <v>1266</v>
      </c>
      <c r="K179">
        <v>14</v>
      </c>
      <c r="L179" s="28">
        <f>_xlfn.XLOOKUP(G179,产品资料!C:C,产品资料!O:O)*J179</f>
        <v>1990.9592015999997</v>
      </c>
      <c r="M179" s="31">
        <f>IFERROR(_xlfn.XLOOKUP(G179,产品资料!C:C,产品资料!L:L)*J179,0)</f>
        <v>2644.674</v>
      </c>
      <c r="N179">
        <f>IFERROR(_xlfn.XLOOKUP(G179,产品资料!C:C,产品资料!M:M)*J179,0)</f>
        <v>15192</v>
      </c>
      <c r="O179" s="51"/>
      <c r="P179" s="23">
        <f>IF(ISNUMBER(SEARCH("合包",R179)),SUMIFS(J:J,G:G,G:G,F:F,F:F)-SUMIFS(打包记录!J:J,打包记录!G:G,G:G,打包记录!F:F,F:F),SUMIFS(J:J,D:D,D:D,G:G,G:G,F:F,F:F)-SUMIFS(打包记录!J:J,打包记录!D:D,D:D,打包记录!G:G,G:G,打包记录!F:F,F:F))</f>
        <v>3</v>
      </c>
      <c r="Q179">
        <v>20</v>
      </c>
    </row>
    <row r="180" spans="1:18" ht="14.25" customHeight="1" x14ac:dyDescent="0.15">
      <c r="A180">
        <v>176</v>
      </c>
      <c r="B180" s="21">
        <v>46254</v>
      </c>
      <c r="C180" t="s">
        <v>190</v>
      </c>
      <c r="D180" s="24" t="s">
        <v>182</v>
      </c>
      <c r="E180" t="s">
        <v>228</v>
      </c>
      <c r="F180">
        <v>39407267</v>
      </c>
      <c r="G180" t="s">
        <v>105</v>
      </c>
      <c r="H180" t="str">
        <f>_xlfn.XLOOKUP(G180,产品资料!C:C,产品资料!E:E)</f>
        <v>4609小拉手(0.8MM）</v>
      </c>
      <c r="I180" s="23" t="str">
        <f>_xlfn.XLOOKUP(G180,产品资料!C:C,产品资料!F:F)</f>
        <v>0.8*142*515</v>
      </c>
      <c r="J180">
        <f t="shared" si="13"/>
        <v>512</v>
      </c>
      <c r="L180" s="28">
        <f>_xlfn.XLOOKUP(G180,产品资料!C:C,产品资料!O:O)*J180</f>
        <v>234.04605439999997</v>
      </c>
      <c r="M180" s="31">
        <f>IFERROR(_xlfn.XLOOKUP(G180,产品资料!C:C,产品资料!L:L)*J180,0)</f>
        <v>669.69600000000003</v>
      </c>
      <c r="N180">
        <f>IFERROR(_xlfn.XLOOKUP(G180,产品资料!C:C,产品资料!M:M)*J180,0)</f>
        <v>0</v>
      </c>
      <c r="O180" s="51"/>
      <c r="P180" s="23">
        <f>IF(ISNUMBER(SEARCH("合包",R180)),SUMIFS(J:J,G:G,G:G,F:F,F:F)-SUMIFS(打包记录!J:J,打包记录!G:G,G:G,打包记录!F:F,F:F),SUMIFS(J:J,D:D,D:D,G:G,G:G,F:F,F:F)-SUMIFS(打包记录!J:J,打包记录!D:D,D:D,打包记录!G:G,G:G,打包记录!F:F,F:F))</f>
        <v>4</v>
      </c>
      <c r="Q180">
        <v>8</v>
      </c>
    </row>
    <row r="181" spans="1:18" ht="14.25" customHeight="1" x14ac:dyDescent="0.15">
      <c r="A181">
        <v>177</v>
      </c>
      <c r="B181" s="21">
        <v>46254</v>
      </c>
      <c r="C181" t="s">
        <v>190</v>
      </c>
      <c r="D181" s="24" t="s">
        <v>182</v>
      </c>
      <c r="E181" t="s">
        <v>228</v>
      </c>
      <c r="F181">
        <v>39407267</v>
      </c>
      <c r="G181" t="s">
        <v>115</v>
      </c>
      <c r="H181" t="str">
        <f>_xlfn.XLOOKUP(G181,产品资料!C:C,产品资料!E:E)</f>
        <v>4609中拉手(0.8MM）</v>
      </c>
      <c r="I181" s="23" t="str">
        <f>_xlfn.XLOOKUP(G181,产品资料!C:C,产品资料!F:F)</f>
        <v>0.8*155*515</v>
      </c>
      <c r="J181">
        <f t="shared" si="13"/>
        <v>1260</v>
      </c>
      <c r="K181">
        <v>20</v>
      </c>
      <c r="L181" s="28">
        <f>_xlfn.XLOOKUP(G181,产品资料!C:C,产品资料!O:O)*J181</f>
        <v>628.90934399999992</v>
      </c>
      <c r="M181" s="31">
        <f>IFERROR(_xlfn.XLOOKUP(G181,产品资料!C:C,产品资料!L:L)*J181,0)</f>
        <v>1680.8400000000001</v>
      </c>
      <c r="N181">
        <f>IFERROR(_xlfn.XLOOKUP(G181,产品资料!C:C,产品资料!M:M)*J181,0)</f>
        <v>0</v>
      </c>
      <c r="O181" s="51"/>
      <c r="P181" s="23">
        <f>IF(ISNUMBER(SEARCH("合包",R181)),SUMIFS(J:J,G:G,G:G,F:F,F:F)-SUMIFS(打包记录!J:J,打包记录!G:G,G:G,打包记录!F:F,F:F),SUMIFS(J:J,D:D,D:D,G:G,G:G,F:F,F:F)-SUMIFS(打包记录!J:J,打包记录!D:D,D:D,打包记录!G:G,G:G,打包记录!F:F,F:F))</f>
        <v>10</v>
      </c>
      <c r="Q181">
        <v>20</v>
      </c>
    </row>
    <row r="182" spans="1:18" ht="14.25" customHeight="1" x14ac:dyDescent="0.15">
      <c r="A182">
        <v>178</v>
      </c>
      <c r="B182" s="21">
        <v>46254</v>
      </c>
      <c r="C182" t="s">
        <v>190</v>
      </c>
      <c r="D182" s="24" t="s">
        <v>182</v>
      </c>
      <c r="E182" t="s">
        <v>228</v>
      </c>
      <c r="F182">
        <v>39407267</v>
      </c>
      <c r="G182" t="s">
        <v>110</v>
      </c>
      <c r="H182" t="str">
        <f>_xlfn.XLOOKUP(G182,产品资料!C:C,产品资料!E:E)</f>
        <v>4609中抽斗(0.8MM)</v>
      </c>
      <c r="I182" s="23" t="str">
        <f>_xlfn.XLOOKUP(G182,产品资料!C:C,产品资料!F:F)</f>
        <v>0.8*418*639</v>
      </c>
      <c r="J182">
        <f t="shared" si="13"/>
        <v>248</v>
      </c>
      <c r="K182">
        <v>8</v>
      </c>
      <c r="L182" s="28">
        <f>_xlfn.XLOOKUP(G182,产品资料!C:C,产品资料!O:O)*J182</f>
        <v>413.45359680000001</v>
      </c>
      <c r="M182" s="31">
        <f>IFERROR(_xlfn.XLOOKUP(G182,产品资料!C:C,产品资料!L:L)*J182,0)</f>
        <v>535.928</v>
      </c>
      <c r="N182">
        <f>IFERROR(_xlfn.XLOOKUP(G182,产品资料!C:C,产品资料!M:M)*J182,0)</f>
        <v>2976</v>
      </c>
      <c r="O182" s="51"/>
      <c r="P182" s="23">
        <f>IF(ISNUMBER(SEARCH("合包",R182)),SUMIFS(J:J,G:G,G:G,F:F,F:F)-SUMIFS(打包记录!J:J,打包记录!G:G,G:G,打包记录!F:F,F:F),SUMIFS(J:J,D:D,D:D,G:G,G:G,F:F,F:F)-SUMIFS(打包记录!J:J,打包记录!D:D,D:D,打包记录!G:G,G:G,打包记录!F:F,F:F))</f>
        <v>2</v>
      </c>
      <c r="Q182">
        <v>4</v>
      </c>
    </row>
    <row r="183" spans="1:18" ht="14.25" customHeight="1" x14ac:dyDescent="0.15">
      <c r="A183">
        <v>179</v>
      </c>
      <c r="B183" s="21">
        <v>46254</v>
      </c>
      <c r="C183" t="s">
        <v>190</v>
      </c>
      <c r="D183" s="24" t="s">
        <v>182</v>
      </c>
      <c r="E183" t="s">
        <v>251</v>
      </c>
      <c r="F183">
        <v>39407267</v>
      </c>
      <c r="G183" t="s">
        <v>70</v>
      </c>
      <c r="H183" t="str">
        <f>_xlfn.XLOOKUP(G183,产品资料!C:C,产品资料!E:E)</f>
        <v>4609中隔内垫板(0.8MM)</v>
      </c>
      <c r="I183" s="23" t="str">
        <f>_xlfn.XLOOKUP(G183,产品资料!C:C,产品资料!F:F)</f>
        <v>0.8*112*550</v>
      </c>
      <c r="J183">
        <f>8*Q183-K183</f>
        <v>313</v>
      </c>
      <c r="K183">
        <v>7</v>
      </c>
      <c r="L183" s="28">
        <f>_xlfn.XLOOKUP(G183,产品资料!C:C,产品资料!O:O)*J183</f>
        <v>120.7689216</v>
      </c>
      <c r="M183" s="31">
        <f>IFERROR(_xlfn.XLOOKUP(G183,产品资料!C:C,产品资料!L:L)*J183,0)</f>
        <v>414.72499999999997</v>
      </c>
      <c r="N183">
        <f>IFERROR(_xlfn.XLOOKUP(G183,产品资料!C:C,产品资料!M:M)*J183,0)</f>
        <v>1565</v>
      </c>
      <c r="O183" s="53" t="s">
        <v>252</v>
      </c>
      <c r="P183" s="23">
        <f>IF(ISNUMBER(SEARCH("合包",R183)),SUMIFS(J:J,G:G,G:G,F:F,F:F)-SUMIFS(打包记录!J:J,打包记录!G:G,G:G,打包记录!F:F,F:F),SUMIFS(J:J,D:D,D:D,G:G,G:G,F:F,F:F)-SUMIFS(打包记录!J:J,打包记录!D:D,D:D,打包记录!G:G,G:G,打包记录!F:F,F:F))</f>
        <v>2</v>
      </c>
      <c r="Q183">
        <v>40</v>
      </c>
    </row>
    <row r="184" spans="1:18" ht="14.25" customHeight="1" x14ac:dyDescent="0.15">
      <c r="A184">
        <v>180</v>
      </c>
      <c r="B184" s="21">
        <v>46254</v>
      </c>
      <c r="C184" t="s">
        <v>190</v>
      </c>
      <c r="D184" s="24" t="s">
        <v>182</v>
      </c>
      <c r="E184" t="s">
        <v>251</v>
      </c>
      <c r="F184">
        <v>39407267</v>
      </c>
      <c r="G184" t="s">
        <v>100</v>
      </c>
      <c r="H184" t="str">
        <f>_xlfn.XLOOKUP(G184,产品资料!C:C,产品资料!E:E)</f>
        <v>4609小抽斗(0.8MM)</v>
      </c>
      <c r="I184" s="23" t="str">
        <f>_xlfn.XLOOKUP(G184,产品资料!C:C,产品资料!F:F)</f>
        <v>0.8*418*603</v>
      </c>
      <c r="J184">
        <f>8*Q184-K184</f>
        <v>403</v>
      </c>
      <c r="K184">
        <v>13</v>
      </c>
      <c r="L184" s="28">
        <f>_xlfn.XLOOKUP(G184,产品资料!C:C,产品资料!O:O)*J184</f>
        <v>633.77295279999987</v>
      </c>
      <c r="M184" s="31">
        <f>IFERROR(_xlfn.XLOOKUP(G184,产品资料!C:C,产品资料!L:L)*J184,0)</f>
        <v>841.86699999999996</v>
      </c>
      <c r="N184">
        <f>IFERROR(_xlfn.XLOOKUP(G184,产品资料!C:C,产品资料!M:M)*J184,0)</f>
        <v>4836</v>
      </c>
      <c r="O184" s="53"/>
      <c r="P184" s="23">
        <f>IF(ISNUMBER(SEARCH("合包",R184)),SUMIFS(J:J,G:G,G:G,F:F,F:F)-SUMIFS(打包记录!J:J,打包记录!G:G,G:G,打包记录!F:F,F:F),SUMIFS(J:J,D:D,D:D,G:G,G:G,F:F,F:F)-SUMIFS(打包记录!J:J,打包记录!D:D,D:D,打包记录!G:G,G:G,打包记录!F:F,F:F))</f>
        <v>3</v>
      </c>
      <c r="Q184">
        <v>52</v>
      </c>
    </row>
    <row r="185" spans="1:18" ht="14.25" customHeight="1" x14ac:dyDescent="0.15">
      <c r="A185">
        <v>181</v>
      </c>
      <c r="B185" s="21">
        <v>46254</v>
      </c>
      <c r="C185" t="s">
        <v>190</v>
      </c>
      <c r="D185" s="24" t="s">
        <v>182</v>
      </c>
      <c r="E185" t="s">
        <v>251</v>
      </c>
      <c r="F185">
        <v>39407267</v>
      </c>
      <c r="G185" t="s">
        <v>110</v>
      </c>
      <c r="H185" t="str">
        <f>_xlfn.XLOOKUP(G185,产品资料!C:C,产品资料!E:E)</f>
        <v>4609中抽斗(0.8MM)</v>
      </c>
      <c r="I185" s="23" t="str">
        <f>_xlfn.XLOOKUP(G185,产品资料!C:C,产品资料!F:F)</f>
        <v>0.8*418*639</v>
      </c>
      <c r="J185">
        <f>8*Q185-K185</f>
        <v>32</v>
      </c>
      <c r="L185" s="28">
        <f>_xlfn.XLOOKUP(G185,产品资料!C:C,产品资料!O:O)*J185</f>
        <v>53.348851199999999</v>
      </c>
      <c r="M185" s="31">
        <f>IFERROR(_xlfn.XLOOKUP(G185,产品资料!C:C,产品资料!L:L)*J185,0)</f>
        <v>69.152000000000001</v>
      </c>
      <c r="N185">
        <f>IFERROR(_xlfn.XLOOKUP(G185,产品资料!C:C,产品资料!M:M)*J185,0)</f>
        <v>384</v>
      </c>
      <c r="O185" s="53"/>
      <c r="P185" s="23">
        <f>IF(ISNUMBER(SEARCH("合包",R185)),SUMIFS(J:J,G:G,G:G,F:F,F:F)-SUMIFS(打包记录!J:J,打包记录!G:G,G:G,打包记录!F:F,F:F),SUMIFS(J:J,D:D,D:D,G:G,G:G,F:F,F:F)-SUMIFS(打包记录!J:J,打包记录!D:D,D:D,打包记录!G:G,G:G,打包记录!F:F,F:F))</f>
        <v>2</v>
      </c>
      <c r="Q185">
        <v>4</v>
      </c>
    </row>
    <row r="186" spans="1:18" ht="14.25" customHeight="1" x14ac:dyDescent="0.15">
      <c r="A186">
        <v>182</v>
      </c>
      <c r="B186" s="21">
        <v>46255</v>
      </c>
      <c r="C186" t="s">
        <v>189</v>
      </c>
      <c r="D186" t="s">
        <v>179</v>
      </c>
      <c r="E186" t="s">
        <v>253</v>
      </c>
      <c r="F186">
        <v>39407267</v>
      </c>
      <c r="G186" t="s">
        <v>19</v>
      </c>
      <c r="H186" t="str">
        <f>_xlfn.XLOOKUP(G186,产品资料!C:C,产品资料!E:E)</f>
        <v xml:space="preserve">4609底盖小加强板（0.8MM ) </v>
      </c>
      <c r="I186" s="23" t="str">
        <f>_xlfn.XLOOKUP(G186,产品资料!C:C,产品资料!F:F)</f>
        <v>0.8*119*1162</v>
      </c>
      <c r="J186">
        <f>42*Q186-K186</f>
        <v>210</v>
      </c>
      <c r="L186" s="28">
        <f>_xlfn.XLOOKUP(G186,产品资料!C:C,产品资料!O:O)*J186</f>
        <v>180.57009599999998</v>
      </c>
      <c r="M186" s="31">
        <f>IFERROR(_xlfn.XLOOKUP(G186,产品资料!C:C,产品资料!L:L)*J186,0)</f>
        <v>538.02</v>
      </c>
      <c r="N186">
        <f>IFERROR(_xlfn.XLOOKUP(G186,产品资料!C:C,产品资料!M:M)*J186,0)</f>
        <v>1680</v>
      </c>
      <c r="O186" s="51" t="s">
        <v>254</v>
      </c>
      <c r="P186" s="23">
        <f>IF(ISNUMBER(SEARCH("合包",R186)),SUMIFS(J:J,G:G,G:G,F:F,F:F)-SUMIFS(打包记录!J:J,打包记录!G:G,G:G,打包记录!F:F,F:F),SUMIFS(J:J,D:D,D:D,G:G,G:G,F:F,F:F)-SUMIFS(打包记录!J:J,打包记录!D:D,D:D,打包记录!G:G,G:G,打包记录!F:F,F:F))</f>
        <v>571</v>
      </c>
      <c r="Q186">
        <v>5</v>
      </c>
    </row>
    <row r="187" spans="1:18" ht="14.25" customHeight="1" x14ac:dyDescent="0.15">
      <c r="A187">
        <v>183</v>
      </c>
      <c r="B187" s="21">
        <v>46255</v>
      </c>
      <c r="C187" t="s">
        <v>189</v>
      </c>
      <c r="D187" t="s">
        <v>179</v>
      </c>
      <c r="E187" t="s">
        <v>253</v>
      </c>
      <c r="F187">
        <v>39407267</v>
      </c>
      <c r="G187" t="s">
        <v>40</v>
      </c>
      <c r="H187" t="str">
        <f>_xlfn.XLOOKUP(G187,产品资料!C:C,产品资料!E:E)</f>
        <v>4609底盖（0.8MM)</v>
      </c>
      <c r="I187" s="23" t="str">
        <f>_xlfn.XLOOKUP(G187,产品资料!C:C,产品资料!F:F)</f>
        <v>0.8*552.5*1211</v>
      </c>
      <c r="J187">
        <f>42*Q187-K187</f>
        <v>336</v>
      </c>
      <c r="L187" s="28">
        <f>_xlfn.XLOOKUP(G187,产品资料!C:C,产品资料!O:O)*J187</f>
        <v>1396.5775488000002</v>
      </c>
      <c r="M187" s="31">
        <f>IFERROR(_xlfn.XLOOKUP(G187,产品资料!C:C,产品资料!L:L)*J187,0)</f>
        <v>1203.2159999999999</v>
      </c>
      <c r="N187">
        <f>IFERROR(_xlfn.XLOOKUP(G187,产品资料!C:C,产品资料!M:M)*J187,0)</f>
        <v>5376</v>
      </c>
      <c r="O187" s="51"/>
      <c r="P187" s="23">
        <f>IF(ISNUMBER(SEARCH("合包",R187)),SUMIFS(J:J,G:G,G:G,F:F,F:F)-SUMIFS(打包记录!J:J,打包记录!G:G,G:G,打包记录!F:F,F:F),SUMIFS(J:J,D:D,D:D,G:G,G:G,F:F,F:F)-SUMIFS(打包记录!J:J,打包记录!D:D,D:D,打包记录!G:G,G:G,打包记录!F:F,F:F))</f>
        <v>152</v>
      </c>
      <c r="Q187">
        <v>8</v>
      </c>
    </row>
    <row r="188" spans="1:18" ht="14.25" customHeight="1" x14ac:dyDescent="0.15">
      <c r="A188">
        <v>184</v>
      </c>
      <c r="B188" s="21">
        <v>46255</v>
      </c>
      <c r="C188" t="s">
        <v>189</v>
      </c>
      <c r="D188" t="s">
        <v>179</v>
      </c>
      <c r="E188" t="s">
        <v>253</v>
      </c>
      <c r="F188">
        <v>39407267</v>
      </c>
      <c r="G188" t="s">
        <v>65</v>
      </c>
      <c r="H188" t="str">
        <f>_xlfn.XLOOKUP(G188,产品资料!C:C,产品资料!E:E)</f>
        <v>4609中隔板(0.8MM)</v>
      </c>
      <c r="I188" s="23" t="str">
        <f>_xlfn.XLOOKUP(G188,产品资料!C:C,产品资料!F:F)</f>
        <v>0.8*481.5*550</v>
      </c>
      <c r="J188">
        <f>42*Q188-K188</f>
        <v>167</v>
      </c>
      <c r="K188">
        <v>1</v>
      </c>
      <c r="L188" s="28">
        <f>_xlfn.XLOOKUP(G188,产品资料!C:C,产品资料!O:O)*J188</f>
        <v>277.26068120000002</v>
      </c>
      <c r="M188" s="31">
        <f>IFERROR(_xlfn.XLOOKUP(G188,产品资料!C:C,产品资料!L:L)*J188,0)</f>
        <v>344.52100000000002</v>
      </c>
      <c r="N188">
        <f>IFERROR(_xlfn.XLOOKUP(G188,产品资料!C:C,产品资料!M:M)*J188,0)</f>
        <v>2505</v>
      </c>
      <c r="O188" s="51"/>
      <c r="P188" s="23">
        <f>IF(ISNUMBER(SEARCH("合包",R188)),SUMIFS(J:J,G:G,G:G,F:F,F:F)-SUMIFS(打包记录!J:J,打包记录!G:G,G:G,打包记录!F:F,F:F),SUMIFS(J:J,D:D,D:D,G:G,G:G,F:F,F:F)-SUMIFS(打包记录!J:J,打包记录!D:D,D:D,打包记录!G:G,G:G,打包记录!F:F,F:F))</f>
        <v>199</v>
      </c>
      <c r="Q188">
        <v>4</v>
      </c>
    </row>
    <row r="189" spans="1:18" ht="14.25" customHeight="1" x14ac:dyDescent="0.15">
      <c r="A189">
        <v>185</v>
      </c>
      <c r="B189" s="21">
        <v>46256</v>
      </c>
      <c r="C189" t="s">
        <v>189</v>
      </c>
      <c r="D189" s="24" t="s">
        <v>182</v>
      </c>
      <c r="E189" t="s">
        <v>251</v>
      </c>
      <c r="F189">
        <v>39407267</v>
      </c>
      <c r="G189" t="s">
        <v>75</v>
      </c>
      <c r="H189" t="str">
        <f>_xlfn.XLOOKUP(G189,产品资料!C:C,产品资料!E:E)</f>
        <v>4609中隔内垫板大槽(0.8MM)</v>
      </c>
      <c r="I189" s="23" t="str">
        <f>_xlfn.XLOOKUP(G189,产品资料!C:C,产品资料!F:F)</f>
        <v>0.8*137*550</v>
      </c>
      <c r="J189">
        <f>10*Q189-K189</f>
        <v>160</v>
      </c>
      <c r="L189" s="28">
        <f>_xlfn.XLOOKUP(G189,产品资料!C:C,产品资料!O:O)*J189</f>
        <v>75.641343999999989</v>
      </c>
      <c r="M189" s="31">
        <f>IFERROR(_xlfn.XLOOKUP(G189,产品资料!C:C,产品资料!L:L)*J189,0)</f>
        <v>219.84000000000003</v>
      </c>
      <c r="N189">
        <f>IFERROR(_xlfn.XLOOKUP(G189,产品资料!C:C,产品资料!M:M)*J189,0)</f>
        <v>800</v>
      </c>
      <c r="O189" s="51" t="s">
        <v>255</v>
      </c>
      <c r="P189" s="23">
        <f>IF(ISNUMBER(SEARCH("合包",R189)),SUMIFS(J:J,G:G,G:G,F:F,F:F)-SUMIFS(打包记录!J:J,打包记录!G:G,G:G,打包记录!F:F,F:F),SUMIFS(J:J,D:D,D:D,G:G,G:G,F:F,F:F)-SUMIFS(打包记录!J:J,打包记录!D:D,D:D,打包记录!G:G,G:G,打包记录!F:F,F:F))</f>
        <v>2</v>
      </c>
      <c r="Q189">
        <v>16</v>
      </c>
    </row>
    <row r="190" spans="1:18" ht="14.25" customHeight="1" x14ac:dyDescent="0.15">
      <c r="A190">
        <v>186</v>
      </c>
      <c r="B190" s="21">
        <v>46256</v>
      </c>
      <c r="C190" t="s">
        <v>189</v>
      </c>
      <c r="D190" s="24" t="s">
        <v>182</v>
      </c>
      <c r="E190" t="s">
        <v>251</v>
      </c>
      <c r="F190">
        <v>39407267</v>
      </c>
      <c r="G190" t="s">
        <v>100</v>
      </c>
      <c r="H190" t="str">
        <f>_xlfn.XLOOKUP(G190,产品资料!C:C,产品资料!E:E)</f>
        <v>4609小抽斗(0.8MM)</v>
      </c>
      <c r="I190" s="23" t="str">
        <f>_xlfn.XLOOKUP(G190,产品资料!C:C,产品资料!F:F)</f>
        <v>0.8*418*603</v>
      </c>
      <c r="J190">
        <f>10*Q190-K190</f>
        <v>480</v>
      </c>
      <c r="L190" s="28">
        <f>_xlfn.XLOOKUP(G190,产品资料!C:C,产品资料!O:O)*J190</f>
        <v>754.86604799999986</v>
      </c>
      <c r="M190" s="31">
        <f>IFERROR(_xlfn.XLOOKUP(G190,产品资料!C:C,产品资料!L:L)*J190,0)</f>
        <v>1002.72</v>
      </c>
      <c r="N190">
        <f>IFERROR(_xlfn.XLOOKUP(G190,产品资料!C:C,产品资料!M:M)*J190,0)</f>
        <v>5760</v>
      </c>
      <c r="O190" s="51"/>
      <c r="P190" s="23">
        <f>IF(ISNUMBER(SEARCH("合包",R190)),SUMIFS(J:J,G:G,G:G,F:F,F:F)-SUMIFS(打包记录!J:J,打包记录!G:G,G:G,打包记录!F:F,F:F),SUMIFS(J:J,D:D,D:D,G:G,G:G,F:F,F:F)-SUMIFS(打包记录!J:J,打包记录!D:D,D:D,打包记录!G:G,G:G,打包记录!F:F,F:F))</f>
        <v>3</v>
      </c>
      <c r="Q190">
        <v>48</v>
      </c>
    </row>
    <row r="191" spans="1:18" ht="14.25" customHeight="1" x14ac:dyDescent="0.15">
      <c r="A191">
        <v>187</v>
      </c>
      <c r="B191" s="21">
        <v>46256</v>
      </c>
      <c r="C191" t="s">
        <v>189</v>
      </c>
      <c r="D191" s="24" t="s">
        <v>182</v>
      </c>
      <c r="E191" t="s">
        <v>251</v>
      </c>
      <c r="F191">
        <v>39407267</v>
      </c>
      <c r="G191" t="s">
        <v>75</v>
      </c>
      <c r="H191" t="str">
        <f>_xlfn.XLOOKUP(G191,产品资料!C:C,产品资料!E:E)</f>
        <v>4609中隔内垫板大槽(0.8MM)</v>
      </c>
      <c r="I191" s="23" t="str">
        <f>_xlfn.XLOOKUP(G191,产品资料!C:C,产品资料!F:F)</f>
        <v>0.8*137*550</v>
      </c>
      <c r="J191">
        <f>32*Q191-K191</f>
        <v>512</v>
      </c>
      <c r="L191" s="28">
        <f>_xlfn.XLOOKUP(G191,产品资料!C:C,产品资料!O:O)*J191</f>
        <v>242.05230079999998</v>
      </c>
      <c r="M191" s="31">
        <f>IFERROR(_xlfn.XLOOKUP(G191,产品资料!C:C,产品资料!L:L)*J191,0)</f>
        <v>703.48800000000006</v>
      </c>
      <c r="N191">
        <f>IFERROR(_xlfn.XLOOKUP(G191,产品资料!C:C,产品资料!M:M)*J191,0)</f>
        <v>2560</v>
      </c>
      <c r="O191" s="51" t="s">
        <v>256</v>
      </c>
      <c r="P191" s="23">
        <f>IF(ISNUMBER(SEARCH("合包",R191)),SUMIFS(J:J,G:G,G:G,F:F,F:F)-SUMIFS(打包记录!J:J,打包记录!G:G,G:G,打包记录!F:F,F:F),SUMIFS(J:J,D:D,D:D,G:G,G:G,F:F,F:F)-SUMIFS(打包记录!J:J,打包记录!D:D,D:D,打包记录!G:G,G:G,打包记录!F:F,F:F))</f>
        <v>2</v>
      </c>
      <c r="Q191">
        <v>16</v>
      </c>
    </row>
    <row r="192" spans="1:18" ht="14.25" customHeight="1" x14ac:dyDescent="0.15">
      <c r="A192">
        <v>188</v>
      </c>
      <c r="B192" s="21">
        <v>46256</v>
      </c>
      <c r="C192" t="s">
        <v>189</v>
      </c>
      <c r="D192" s="24" t="s">
        <v>182</v>
      </c>
      <c r="E192" t="s">
        <v>251</v>
      </c>
      <c r="F192">
        <v>39407267</v>
      </c>
      <c r="G192" t="s">
        <v>90</v>
      </c>
      <c r="H192" t="str">
        <f>_xlfn.XLOOKUP(G192,产品资料!C:C,产品资料!E:E)</f>
        <v>4609顶长抽斗(0.8MM)</v>
      </c>
      <c r="I192" s="23" t="str">
        <f>_xlfn.XLOOKUP(G192,产品资料!C:C,产品资料!F:F)</f>
        <v>0.8*418*1210</v>
      </c>
      <c r="J192">
        <f>32*Q192-K192</f>
        <v>767</v>
      </c>
      <c r="K192">
        <v>1</v>
      </c>
      <c r="L192" s="28">
        <f>_xlfn.XLOOKUP(G192,产品资料!C:C,产品资料!O:O)*J192</f>
        <v>2427.3580344000002</v>
      </c>
      <c r="M192" s="31">
        <f>IFERROR(_xlfn.XLOOKUP(G192,产品资料!C:C,产品资料!L:L)*J192,0)</f>
        <v>2532.634</v>
      </c>
      <c r="N192">
        <f>IFERROR(_xlfn.XLOOKUP(G192,产品资料!C:C,产品资料!M:M)*J192,0)</f>
        <v>9204</v>
      </c>
      <c r="O192" s="51"/>
      <c r="P192" s="23">
        <f>IF(ISNUMBER(SEARCH("合包",R192)),SUMIFS(J:J,G:G,G:G,F:F,F:F)-SUMIFS(打包记录!J:J,打包记录!G:G,G:G,打包记录!F:F,F:F),SUMIFS(J:J,D:D,D:D,G:G,G:G,F:F,F:F)-SUMIFS(打包记录!J:J,打包记录!D:D,D:D,打包记录!G:G,G:G,打包记录!F:F,F:F))</f>
        <v>-194</v>
      </c>
      <c r="Q192">
        <v>24</v>
      </c>
    </row>
    <row r="193" spans="1:18" ht="14.25" customHeight="1" x14ac:dyDescent="0.15">
      <c r="A193">
        <v>189</v>
      </c>
      <c r="B193" s="21">
        <v>46259</v>
      </c>
      <c r="C193" t="s">
        <v>189</v>
      </c>
      <c r="D193" s="24" t="s">
        <v>182</v>
      </c>
      <c r="E193" t="s">
        <v>251</v>
      </c>
      <c r="F193">
        <v>39407267</v>
      </c>
      <c r="G193" t="s">
        <v>75</v>
      </c>
      <c r="H193" t="str">
        <f>_xlfn.XLOOKUP(G193,产品资料!C:C,产品资料!E:E)</f>
        <v>4609中隔内垫板大槽(0.8MM)</v>
      </c>
      <c r="I193" s="23" t="str">
        <f>_xlfn.XLOOKUP(G193,产品资料!C:C,产品资料!F:F)</f>
        <v>0.8*137*550</v>
      </c>
      <c r="J193">
        <f>28*Q193-K193</f>
        <v>447</v>
      </c>
      <c r="K193">
        <v>1</v>
      </c>
      <c r="L193" s="28">
        <f>_xlfn.XLOOKUP(G193,产品资料!C:C,产品资料!O:O)*J193</f>
        <v>211.32300479999998</v>
      </c>
      <c r="M193" s="31">
        <f>IFERROR(_xlfn.XLOOKUP(G193,产品资料!C:C,产品资料!L:L)*J193,0)</f>
        <v>614.178</v>
      </c>
      <c r="N193">
        <f>IFERROR(_xlfn.XLOOKUP(G193,产品资料!C:C,产品资料!M:M)*J193,0)</f>
        <v>2235</v>
      </c>
      <c r="O193" s="51" t="s">
        <v>257</v>
      </c>
      <c r="P193" s="23">
        <f>IF(ISNUMBER(SEARCH("合包",R193)),SUMIFS(J:J,G:G,G:G,F:F,F:F)-SUMIFS(打包记录!J:J,打包记录!G:G,G:G,打包记录!F:F,F:F),SUMIFS(J:J,D:D,D:D,G:G,G:G,F:F,F:F)-SUMIFS(打包记录!J:J,打包记录!D:D,D:D,打包记录!G:G,G:G,打包记录!F:F,F:F))</f>
        <v>2</v>
      </c>
      <c r="Q193">
        <v>16</v>
      </c>
    </row>
    <row r="194" spans="1:18" ht="14.25" customHeight="1" x14ac:dyDescent="0.15">
      <c r="A194">
        <v>190</v>
      </c>
      <c r="B194" s="21">
        <v>46259</v>
      </c>
      <c r="C194" t="s">
        <v>189</v>
      </c>
      <c r="D194" s="24" t="s">
        <v>182</v>
      </c>
      <c r="E194" t="s">
        <v>251</v>
      </c>
      <c r="F194">
        <v>39407267</v>
      </c>
      <c r="G194" t="s">
        <v>90</v>
      </c>
      <c r="H194" t="str">
        <f>_xlfn.XLOOKUP(G194,产品资料!C:C,产品资料!E:E)</f>
        <v>4609顶长抽斗(0.8MM)</v>
      </c>
      <c r="I194" s="23" t="str">
        <f>_xlfn.XLOOKUP(G194,产品资料!C:C,产品资料!F:F)</f>
        <v>0.8*418*1210</v>
      </c>
      <c r="J194">
        <f>28*Q194-K194</f>
        <v>672</v>
      </c>
      <c r="L194" s="28">
        <f>_xlfn.XLOOKUP(G194,产品资料!C:C,产品资料!O:O)*J194</f>
        <v>2126.7074304000002</v>
      </c>
      <c r="M194" s="31">
        <f>IFERROR(_xlfn.XLOOKUP(G194,产品资料!C:C,产品资料!L:L)*J194,0)</f>
        <v>2218.944</v>
      </c>
      <c r="N194">
        <f>IFERROR(_xlfn.XLOOKUP(G194,产品资料!C:C,产品资料!M:M)*J194,0)</f>
        <v>8064</v>
      </c>
      <c r="O194" s="51"/>
      <c r="P194" s="23">
        <f>IF(ISNUMBER(SEARCH("合包",R194)),SUMIFS(J:J,G:G,G:G,F:F,F:F)-SUMIFS(打包记录!J:J,打包记录!G:G,G:G,打包记录!F:F,F:F),SUMIFS(J:J,D:D,D:D,G:G,G:G,F:F,F:F)-SUMIFS(打包记录!J:J,打包记录!D:D,D:D,打包记录!G:G,G:G,打包记录!F:F,F:F))</f>
        <v>-194</v>
      </c>
      <c r="Q194">
        <v>24</v>
      </c>
    </row>
    <row r="195" spans="1:18" ht="14.25" customHeight="1" x14ac:dyDescent="0.15">
      <c r="A195">
        <v>191</v>
      </c>
      <c r="B195" s="21">
        <v>46259</v>
      </c>
      <c r="C195" t="s">
        <v>189</v>
      </c>
      <c r="D195" s="24" t="s">
        <v>182</v>
      </c>
      <c r="E195" t="s">
        <v>253</v>
      </c>
      <c r="F195">
        <v>39407267</v>
      </c>
      <c r="G195" t="s">
        <v>19</v>
      </c>
      <c r="H195" t="str">
        <f>_xlfn.XLOOKUP(G195,产品资料!C:C,产品资料!E:E)</f>
        <v xml:space="preserve">4609底盖小加强板（0.8MM ) </v>
      </c>
      <c r="I195" s="23" t="str">
        <f>_xlfn.XLOOKUP(G195,产品资料!C:C,产品资料!F:F)</f>
        <v>0.8*119*1162</v>
      </c>
      <c r="J195">
        <f>23*Q195-K195</f>
        <v>92</v>
      </c>
      <c r="L195" s="28">
        <f>_xlfn.XLOOKUP(G195,产品资料!C:C,产品资料!O:O)*J195</f>
        <v>79.106899199999987</v>
      </c>
      <c r="M195" s="31">
        <f>IFERROR(_xlfn.XLOOKUP(G195,产品资料!C:C,产品资料!L:L)*J195,0)</f>
        <v>235.70399999999998</v>
      </c>
      <c r="N195">
        <f>IFERROR(_xlfn.XLOOKUP(G195,产品资料!C:C,产品资料!M:M)*J195,0)</f>
        <v>736</v>
      </c>
      <c r="O195" s="51" t="s">
        <v>258</v>
      </c>
      <c r="P195" s="23">
        <f>IF(ISNUMBER(SEARCH("合包",R195)),SUMIFS(J:J,G:G,G:G,F:F,F:F)-SUMIFS(打包记录!J:J,打包记录!G:G,G:G,打包记录!F:F,F:F),SUMIFS(J:J,D:D,D:D,G:G,G:G,F:F,F:F)-SUMIFS(打包记录!J:J,打包记录!D:D,D:D,打包记录!G:G,G:G,打包记录!F:F,F:F))</f>
        <v>3</v>
      </c>
      <c r="Q195">
        <v>4</v>
      </c>
      <c r="R195" t="s">
        <v>166</v>
      </c>
    </row>
    <row r="196" spans="1:18" ht="14.25" customHeight="1" x14ac:dyDescent="0.15">
      <c r="A196">
        <v>192</v>
      </c>
      <c r="B196" s="21">
        <v>46259</v>
      </c>
      <c r="C196" t="s">
        <v>189</v>
      </c>
      <c r="D196" s="24" t="s">
        <v>182</v>
      </c>
      <c r="E196" t="s">
        <v>253</v>
      </c>
      <c r="F196">
        <v>39407267</v>
      </c>
      <c r="G196" t="s">
        <v>70</v>
      </c>
      <c r="H196" t="str">
        <f>_xlfn.XLOOKUP(G196,产品资料!C:C,产品资料!E:E)</f>
        <v>4609中隔内垫板(0.8MM)</v>
      </c>
      <c r="I196" s="23" t="str">
        <f>_xlfn.XLOOKUP(G196,产品资料!C:C,产品资料!F:F)</f>
        <v>0.8*112*550</v>
      </c>
      <c r="J196">
        <f>23*Q196-K196</f>
        <v>275</v>
      </c>
      <c r="K196">
        <v>1</v>
      </c>
      <c r="L196" s="28">
        <f>_xlfn.XLOOKUP(G196,产品资料!C:C,产品资料!O:O)*J196</f>
        <v>106.10688</v>
      </c>
      <c r="M196" s="31">
        <f>IFERROR(_xlfn.XLOOKUP(G196,产品资料!C:C,产品资料!L:L)*J196,0)</f>
        <v>364.375</v>
      </c>
      <c r="N196">
        <f>IFERROR(_xlfn.XLOOKUP(G196,产品资料!C:C,产品资料!M:M)*J196,0)</f>
        <v>1375</v>
      </c>
      <c r="O196" s="51"/>
      <c r="P196" s="23">
        <f>IF(ISNUMBER(SEARCH("合包",R196)),SUMIFS(J:J,G:G,G:G,F:F,F:F)-SUMIFS(打包记录!J:J,打包记录!G:G,G:G,打包记录!F:F,F:F),SUMIFS(J:J,D:D,D:D,G:G,G:G,F:F,F:F)-SUMIFS(打包记录!J:J,打包记录!D:D,D:D,打包记录!G:G,G:G,打包记录!F:F,F:F))</f>
        <v>2</v>
      </c>
      <c r="Q196">
        <v>12</v>
      </c>
    </row>
    <row r="197" spans="1:18" ht="14.25" customHeight="1" x14ac:dyDescent="0.15">
      <c r="A197">
        <v>193</v>
      </c>
      <c r="B197" s="21">
        <v>46259</v>
      </c>
      <c r="C197" t="s">
        <v>189</v>
      </c>
      <c r="D197" s="24" t="s">
        <v>182</v>
      </c>
      <c r="E197" t="s">
        <v>253</v>
      </c>
      <c r="F197">
        <v>39407267</v>
      </c>
      <c r="G197" t="s">
        <v>110</v>
      </c>
      <c r="H197" t="str">
        <f>_xlfn.XLOOKUP(G197,产品资料!C:C,产品资料!E:E)</f>
        <v>4609中抽斗(0.8MM)</v>
      </c>
      <c r="I197" s="23" t="str">
        <f>_xlfn.XLOOKUP(G197,产品资料!C:C,产品资料!F:F)</f>
        <v>0.8*418*639</v>
      </c>
      <c r="J197">
        <f>23*Q197-K197</f>
        <v>552</v>
      </c>
      <c r="L197" s="28">
        <f>_xlfn.XLOOKUP(G197,产品资料!C:C,产品资料!O:O)*J197</f>
        <v>920.26768319999996</v>
      </c>
      <c r="M197" s="31">
        <f>IFERROR(_xlfn.XLOOKUP(G197,产品资料!C:C,产品资料!L:L)*J197,0)</f>
        <v>1192.8720000000001</v>
      </c>
      <c r="N197">
        <f>IFERROR(_xlfn.XLOOKUP(G197,产品资料!C:C,产品资料!M:M)*J197,0)</f>
        <v>6624</v>
      </c>
      <c r="O197" s="51"/>
      <c r="P197" s="23">
        <f>IF(ISNUMBER(SEARCH("合包",R197)),SUMIFS(J:J,G:G,G:G,F:F,F:F)-SUMIFS(打包记录!J:J,打包记录!G:G,G:G,打包记录!F:F,F:F),SUMIFS(J:J,D:D,D:D,G:G,G:G,F:F,F:F)-SUMIFS(打包记录!J:J,打包记录!D:D,D:D,打包记录!G:G,G:G,打包记录!F:F,F:F))</f>
        <v>2</v>
      </c>
      <c r="Q197">
        <v>24</v>
      </c>
    </row>
    <row r="198" spans="1:18" ht="14.25" customHeight="1" x14ac:dyDescent="0.15">
      <c r="A198">
        <v>194</v>
      </c>
      <c r="B198" s="21">
        <v>46259</v>
      </c>
      <c r="C198" t="s">
        <v>189</v>
      </c>
      <c r="D198" s="24" t="s">
        <v>182</v>
      </c>
      <c r="E198" t="s">
        <v>253</v>
      </c>
      <c r="F198">
        <v>39407267</v>
      </c>
      <c r="G198" t="s">
        <v>120</v>
      </c>
      <c r="H198" t="str">
        <f>_xlfn.XLOOKUP(G198,产品资料!C:C,产品资料!E:E)</f>
        <v>4609大抽斗(0.8MM)</v>
      </c>
      <c r="I198" s="23" t="str">
        <f>_xlfn.XLOOKUP(G198,产品资料!C:C,产品资料!F:F)</f>
        <v>0.8*418*919</v>
      </c>
      <c r="J198">
        <f>23*Q198-K198</f>
        <v>184</v>
      </c>
      <c r="L198" s="28">
        <f>_xlfn.XLOOKUP(G198,产品资料!C:C,产品资料!O:O)*J198</f>
        <v>441.89395839999992</v>
      </c>
      <c r="M198" s="31">
        <f>IFERROR(_xlfn.XLOOKUP(G198,产品资料!C:C,产品资料!L:L)*J198,0)</f>
        <v>500.66399999999999</v>
      </c>
      <c r="N198">
        <f>IFERROR(_xlfn.XLOOKUP(G198,产品资料!C:C,产品资料!M:M)*J198,0)</f>
        <v>3312</v>
      </c>
      <c r="O198" s="51"/>
      <c r="P198" s="23">
        <f>IF(ISNUMBER(SEARCH("合包",R198)),SUMIFS(J:J,G:G,G:G,F:F,F:F)-SUMIFS(打包记录!J:J,打包记录!G:G,G:G,打包记录!F:F,F:F),SUMIFS(J:J,D:D,D:D,G:G,G:G,F:F,F:F)-SUMIFS(打包记录!J:J,打包记录!D:D,D:D,打包记录!G:G,G:G,打包记录!F:F,F:F))</f>
        <v>2</v>
      </c>
      <c r="Q198">
        <v>8</v>
      </c>
    </row>
    <row r="199" spans="1:18" ht="14.25" customHeight="1" x14ac:dyDescent="0.15">
      <c r="A199">
        <v>195</v>
      </c>
      <c r="B199" s="21">
        <v>46259</v>
      </c>
      <c r="C199" t="s">
        <v>189</v>
      </c>
      <c r="D199" s="24" t="s">
        <v>182</v>
      </c>
      <c r="E199" t="s">
        <v>253</v>
      </c>
      <c r="F199">
        <v>39407267</v>
      </c>
      <c r="G199" t="s">
        <v>90</v>
      </c>
      <c r="H199" t="str">
        <f>_xlfn.XLOOKUP(G199,产品资料!C:C,产品资料!E:E)</f>
        <v>4609顶长抽斗(0.8MM)</v>
      </c>
      <c r="I199" s="23" t="str">
        <f>_xlfn.XLOOKUP(G199,产品资料!C:C,产品资料!F:F)</f>
        <v>0.8*418*1210</v>
      </c>
      <c r="J199">
        <f>3*Q199-K199</f>
        <v>84</v>
      </c>
      <c r="L199" s="28">
        <f>_xlfn.XLOOKUP(G199,产品资料!C:C,产品资料!O:O)*J199</f>
        <v>265.83842880000003</v>
      </c>
      <c r="M199" s="31">
        <f>IFERROR(_xlfn.XLOOKUP(G199,产品资料!C:C,产品资料!L:L)*J199,0)</f>
        <v>277.36799999999999</v>
      </c>
      <c r="N199">
        <f>IFERROR(_xlfn.XLOOKUP(G199,产品资料!C:C,产品资料!M:M)*J199,0)</f>
        <v>1008</v>
      </c>
      <c r="O199" s="34" t="s">
        <v>183</v>
      </c>
      <c r="P199" s="23">
        <f>IF(ISNUMBER(SEARCH("合包",R199)),SUMIFS(J:J,G:G,G:G,F:F,F:F)-SUMIFS(打包记录!J:J,打包记录!G:G,G:G,打包记录!F:F,F:F),SUMIFS(J:J,D:D,D:D,G:G,G:G,F:F,F:F)-SUMIFS(打包记录!J:J,打包记录!D:D,D:D,打包记录!G:G,G:G,打包记录!F:F,F:F))</f>
        <v>-194</v>
      </c>
      <c r="Q199">
        <v>28</v>
      </c>
    </row>
    <row r="200" spans="1:18" ht="14.25" customHeight="1" x14ac:dyDescent="0.15">
      <c r="A200">
        <v>196</v>
      </c>
      <c r="B200" s="21">
        <v>46259</v>
      </c>
      <c r="C200" t="s">
        <v>189</v>
      </c>
      <c r="D200" s="24" t="s">
        <v>182</v>
      </c>
      <c r="E200" t="s">
        <v>253</v>
      </c>
      <c r="F200">
        <v>39407267</v>
      </c>
      <c r="G200" t="s">
        <v>100</v>
      </c>
      <c r="H200" t="str">
        <f>_xlfn.XLOOKUP(G200,产品资料!C:C,产品资料!E:E)</f>
        <v>4609小抽斗(0.8MM)</v>
      </c>
      <c r="I200" s="23" t="str">
        <f>_xlfn.XLOOKUP(G200,产品资料!C:C,产品资料!F:F)</f>
        <v>0.8*418*603</v>
      </c>
      <c r="J200">
        <f>22*Q200-K200</f>
        <v>352</v>
      </c>
      <c r="L200" s="28">
        <f>_xlfn.XLOOKUP(G200,产品资料!C:C,产品资料!O:O)*J200</f>
        <v>553.56843519999995</v>
      </c>
      <c r="M200" s="31">
        <f>IFERROR(_xlfn.XLOOKUP(G200,产品资料!C:C,产品资料!L:L)*J200,0)</f>
        <v>735.32799999999997</v>
      </c>
      <c r="N200">
        <f>IFERROR(_xlfn.XLOOKUP(G200,产品资料!C:C,产品资料!M:M)*J200,0)</f>
        <v>4224</v>
      </c>
      <c r="O200" s="51" t="s">
        <v>259</v>
      </c>
      <c r="P200" s="23">
        <f>IF(ISNUMBER(SEARCH("合包",R200)),SUMIFS(J:J,G:G,G:G,F:F,F:F)-SUMIFS(打包记录!J:J,打包记录!G:G,G:G,打包记录!F:F,F:F),SUMIFS(J:J,D:D,D:D,G:G,G:G,F:F,F:F)-SUMIFS(打包记录!J:J,打包记录!D:D,D:D,打包记录!G:G,G:G,打包记录!F:F,F:F))</f>
        <v>3</v>
      </c>
      <c r="Q200">
        <v>16</v>
      </c>
    </row>
    <row r="201" spans="1:18" ht="14.25" customHeight="1" x14ac:dyDescent="0.15">
      <c r="A201">
        <v>197</v>
      </c>
      <c r="B201" s="21">
        <v>46259</v>
      </c>
      <c r="C201" t="s">
        <v>189</v>
      </c>
      <c r="D201" s="24" t="s">
        <v>182</v>
      </c>
      <c r="E201" t="s">
        <v>253</v>
      </c>
      <c r="F201">
        <v>39407267</v>
      </c>
      <c r="G201" t="s">
        <v>105</v>
      </c>
      <c r="H201" t="str">
        <f>_xlfn.XLOOKUP(G201,产品资料!C:C,产品资料!E:E)</f>
        <v>4609小拉手(0.8MM）</v>
      </c>
      <c r="I201" s="23" t="str">
        <f>_xlfn.XLOOKUP(G201,产品资料!C:C,产品资料!F:F)</f>
        <v>0.8*142*515</v>
      </c>
      <c r="J201">
        <f>22*Q201-K201</f>
        <v>352</v>
      </c>
      <c r="L201" s="28">
        <f>_xlfn.XLOOKUP(G201,产品资料!C:C,产品资料!O:O)*J201</f>
        <v>160.90666239999999</v>
      </c>
      <c r="M201" s="31">
        <f>IFERROR(_xlfn.XLOOKUP(G201,产品资料!C:C,产品资料!L:L)*J201,0)</f>
        <v>460.416</v>
      </c>
      <c r="N201">
        <f>IFERROR(_xlfn.XLOOKUP(G201,产品资料!C:C,产品资料!M:M)*J201,0)</f>
        <v>0</v>
      </c>
      <c r="O201" s="51"/>
      <c r="P201" s="23">
        <f>IF(ISNUMBER(SEARCH("合包",R201)),SUMIFS(J:J,G:G,G:G,F:F,F:F)-SUMIFS(打包记录!J:J,打包记录!G:G,G:G,打包记录!F:F,F:F),SUMIFS(J:J,D:D,D:D,G:G,G:G,F:F,F:F)-SUMIFS(打包记录!J:J,打包记录!D:D,D:D,打包记录!G:G,G:G,打包记录!F:F,F:F))</f>
        <v>4</v>
      </c>
      <c r="Q201">
        <v>16</v>
      </c>
    </row>
    <row r="202" spans="1:18" ht="14.25" customHeight="1" x14ac:dyDescent="0.15">
      <c r="A202">
        <v>198</v>
      </c>
      <c r="B202" s="21">
        <v>46259</v>
      </c>
      <c r="C202" t="s">
        <v>189</v>
      </c>
      <c r="D202" s="24" t="s">
        <v>182</v>
      </c>
      <c r="E202" t="s">
        <v>253</v>
      </c>
      <c r="F202">
        <v>39407267</v>
      </c>
      <c r="G202" t="s">
        <v>115</v>
      </c>
      <c r="H202" t="str">
        <f>_xlfn.XLOOKUP(G202,产品资料!C:C,产品资料!E:E)</f>
        <v>4609中拉手(0.8MM）</v>
      </c>
      <c r="I202" s="23" t="str">
        <f>_xlfn.XLOOKUP(G202,产品资料!C:C,产品资料!F:F)</f>
        <v>0.8*155*515</v>
      </c>
      <c r="J202">
        <f>22*Q202-K202</f>
        <v>351</v>
      </c>
      <c r="K202">
        <v>1</v>
      </c>
      <c r="L202" s="28">
        <f>_xlfn.XLOOKUP(G202,产品资料!C:C,产品资料!O:O)*J202</f>
        <v>175.19617439999999</v>
      </c>
      <c r="M202" s="31">
        <f>IFERROR(_xlfn.XLOOKUP(G202,产品资料!C:C,产品资料!L:L)*J202,0)</f>
        <v>468.23400000000004</v>
      </c>
      <c r="N202">
        <f>IFERROR(_xlfn.XLOOKUP(G202,产品资料!C:C,产品资料!M:M)*J202,0)</f>
        <v>0</v>
      </c>
      <c r="O202" s="51"/>
      <c r="P202" s="23">
        <f>IF(ISNUMBER(SEARCH("合包",R202)),SUMIFS(J:J,G:G,G:G,F:F,F:F)-SUMIFS(打包记录!J:J,打包记录!G:G,G:G,打包记录!F:F,F:F),SUMIFS(J:J,D:D,D:D,G:G,G:G,F:F,F:F)-SUMIFS(打包记录!J:J,打包记录!D:D,D:D,打包记录!G:G,G:G,打包记录!F:F,F:F))</f>
        <v>10</v>
      </c>
      <c r="Q202">
        <v>16</v>
      </c>
    </row>
    <row r="203" spans="1:18" ht="14.25" customHeight="1" x14ac:dyDescent="0.15">
      <c r="A203">
        <v>199</v>
      </c>
      <c r="B203" s="21">
        <v>46260</v>
      </c>
      <c r="C203" t="s">
        <v>189</v>
      </c>
      <c r="D203" s="24" t="s">
        <v>182</v>
      </c>
      <c r="E203" t="s">
        <v>253</v>
      </c>
      <c r="F203">
        <v>39407267</v>
      </c>
      <c r="G203" t="s">
        <v>100</v>
      </c>
      <c r="H203" t="str">
        <f>_xlfn.XLOOKUP(G203,产品资料!C:C,产品资料!E:E)</f>
        <v>4609小抽斗(0.8MM)</v>
      </c>
      <c r="I203" s="23" t="str">
        <f>_xlfn.XLOOKUP(G203,产品资料!C:C,产品资料!F:F)</f>
        <v>0.8*418*603</v>
      </c>
      <c r="J203">
        <f t="shared" ref="J203:J205" si="14">16.75*Q203-K203</f>
        <v>268</v>
      </c>
      <c r="L203" s="28">
        <f>_xlfn.XLOOKUP(G203,产品资料!C:C,产品资料!O:O)*J203</f>
        <v>421.46687679999991</v>
      </c>
      <c r="M203" s="31">
        <f>IFERROR(_xlfn.XLOOKUP(G203,产品资料!C:C,产品资料!L:L)*J203,0)</f>
        <v>559.85199999999998</v>
      </c>
      <c r="N203">
        <f>IFERROR(_xlfn.XLOOKUP(G203,产品资料!C:C,产品资料!M:M)*J203,0)</f>
        <v>3216</v>
      </c>
      <c r="O203" s="50" t="s">
        <v>260</v>
      </c>
      <c r="P203" s="23">
        <f>IF(ISNUMBER(SEARCH("合包",R203)),SUMIFS(J:J,G:G,G:G,F:F,F:F)-SUMIFS(打包记录!J:J,打包记录!G:G,G:G,打包记录!F:F,F:F),SUMIFS(J:J,D:D,D:D,G:G,G:G,F:F,F:F)-SUMIFS(打包记录!J:J,打包记录!D:D,D:D,打包记录!G:G,G:G,打包记录!F:F,F:F))</f>
        <v>3</v>
      </c>
      <c r="Q203">
        <v>16</v>
      </c>
    </row>
    <row r="204" spans="1:18" ht="14.25" customHeight="1" x14ac:dyDescent="0.15">
      <c r="A204">
        <v>200</v>
      </c>
      <c r="B204" s="21">
        <v>46260</v>
      </c>
      <c r="C204" t="s">
        <v>189</v>
      </c>
      <c r="D204" s="24" t="s">
        <v>182</v>
      </c>
      <c r="E204" t="s">
        <v>253</v>
      </c>
      <c r="F204">
        <v>39407267</v>
      </c>
      <c r="G204" t="s">
        <v>105</v>
      </c>
      <c r="H204" t="str">
        <f>_xlfn.XLOOKUP(G204,产品资料!C:C,产品资料!E:E)</f>
        <v>4609小拉手(0.8MM）</v>
      </c>
      <c r="I204" s="23" t="str">
        <f>_xlfn.XLOOKUP(G204,产品资料!C:C,产品资料!F:F)</f>
        <v>0.8*142*515</v>
      </c>
      <c r="J204">
        <f t="shared" si="14"/>
        <v>268</v>
      </c>
      <c r="L204" s="28">
        <f>_xlfn.XLOOKUP(G204,产品资料!C:C,产品资料!O:O)*J204</f>
        <v>122.50848159999998</v>
      </c>
      <c r="M204" s="31">
        <f>IFERROR(_xlfn.XLOOKUP(G204,产品资料!C:C,产品资料!L:L)*J204,0)</f>
        <v>350.54400000000004</v>
      </c>
      <c r="N204">
        <f>IFERROR(_xlfn.XLOOKUP(G204,产品资料!C:C,产品资料!M:M)*J204,0)</f>
        <v>0</v>
      </c>
      <c r="O204" s="51"/>
      <c r="P204" s="23">
        <f>IF(ISNUMBER(SEARCH("合包",R204)),SUMIFS(J:J,G:G,G:G,F:F,F:F)-SUMIFS(打包记录!J:J,打包记录!G:G,G:G,打包记录!F:F,F:F),SUMIFS(J:J,D:D,D:D,G:G,G:G,F:F,F:F)-SUMIFS(打包记录!J:J,打包记录!D:D,D:D,打包记录!G:G,G:G,打包记录!F:F,F:F))</f>
        <v>4</v>
      </c>
      <c r="Q204">
        <v>16</v>
      </c>
    </row>
    <row r="205" spans="1:18" ht="14.25" customHeight="1" x14ac:dyDescent="0.15">
      <c r="A205">
        <v>201</v>
      </c>
      <c r="B205" s="21">
        <v>46260</v>
      </c>
      <c r="C205" t="s">
        <v>189</v>
      </c>
      <c r="D205" s="24" t="s">
        <v>182</v>
      </c>
      <c r="E205" t="s">
        <v>253</v>
      </c>
      <c r="F205">
        <v>39407267</v>
      </c>
      <c r="G205" t="s">
        <v>115</v>
      </c>
      <c r="H205" t="str">
        <f>_xlfn.XLOOKUP(G205,产品资料!C:C,产品资料!E:E)</f>
        <v>4609中拉手(0.8MM）</v>
      </c>
      <c r="I205" s="23" t="str">
        <f>_xlfn.XLOOKUP(G205,产品资料!C:C,产品资料!F:F)</f>
        <v>0.8*155*515</v>
      </c>
      <c r="J205">
        <f t="shared" si="14"/>
        <v>268</v>
      </c>
      <c r="L205" s="28">
        <f>_xlfn.XLOOKUP(G205,产品资料!C:C,产品资料!O:O)*J205</f>
        <v>133.7680192</v>
      </c>
      <c r="M205" s="31">
        <f>IFERROR(_xlfn.XLOOKUP(G205,产品资料!C:C,产品资料!L:L)*J205,0)</f>
        <v>357.512</v>
      </c>
      <c r="N205">
        <f>IFERROR(_xlfn.XLOOKUP(G205,产品资料!C:C,产品资料!M:M)*J205,0)</f>
        <v>0</v>
      </c>
      <c r="O205" s="51"/>
      <c r="P205" s="23">
        <f>IF(ISNUMBER(SEARCH("合包",R205)),SUMIFS(J:J,G:G,G:G,F:F,F:F)-SUMIFS(打包记录!J:J,打包记录!G:G,G:G,打包记录!F:F,F:F),SUMIFS(J:J,D:D,D:D,G:G,G:G,F:F,F:F)-SUMIFS(打包记录!J:J,打包记录!D:D,D:D,打包记录!G:G,G:G,打包记录!F:F,F:F))</f>
        <v>10</v>
      </c>
      <c r="Q205">
        <v>16</v>
      </c>
    </row>
    <row r="206" spans="1:18" ht="14.25" customHeight="1" x14ac:dyDescent="0.15">
      <c r="A206">
        <v>202</v>
      </c>
      <c r="B206" s="21">
        <v>46260</v>
      </c>
      <c r="C206" t="s">
        <v>189</v>
      </c>
      <c r="D206" s="24" t="s">
        <v>182</v>
      </c>
      <c r="E206" t="s">
        <v>253</v>
      </c>
      <c r="F206">
        <v>39407267</v>
      </c>
      <c r="G206" t="s">
        <v>40</v>
      </c>
      <c r="H206" t="str">
        <f>_xlfn.XLOOKUP(G206,产品资料!C:C,产品资料!E:E)</f>
        <v>4609底盖（0.8MM)</v>
      </c>
      <c r="I206" s="23" t="str">
        <f>_xlfn.XLOOKUP(G206,产品资料!C:C,产品资料!F:F)</f>
        <v>0.8*552.5*1211</v>
      </c>
      <c r="J206">
        <f t="shared" ref="J206:J210" si="15">51*Q206-K206</f>
        <v>204</v>
      </c>
      <c r="L206" s="28">
        <f>_xlfn.XLOOKUP(G206,产品资料!C:C,产品资料!O:O)*J206</f>
        <v>847.92208320000009</v>
      </c>
      <c r="M206" s="31">
        <f>IFERROR(_xlfn.XLOOKUP(G206,产品资料!C:C,产品资料!L:L)*J206,0)</f>
        <v>730.524</v>
      </c>
      <c r="N206">
        <f>IFERROR(_xlfn.XLOOKUP(G206,产品资料!C:C,产品资料!M:M)*J206,0)</f>
        <v>3264</v>
      </c>
      <c r="O206" s="51" t="s">
        <v>261</v>
      </c>
      <c r="P206" s="23">
        <f>IF(ISNUMBER(SEARCH("合包",R206)),SUMIFS(J:J,G:G,G:G,F:F,F:F)-SUMIFS(打包记录!J:J,打包记录!G:G,G:G,打包记录!F:F,F:F),SUMIFS(J:J,D:D,D:D,G:G,G:G,F:F,F:F)-SUMIFS(打包记录!J:J,打包记录!D:D,D:D,打包记录!G:G,G:G,打包记录!F:F,F:F))</f>
        <v>3</v>
      </c>
      <c r="Q206">
        <v>4</v>
      </c>
      <c r="R206" t="s">
        <v>166</v>
      </c>
    </row>
    <row r="207" spans="1:18" ht="14.25" customHeight="1" x14ac:dyDescent="0.15">
      <c r="A207">
        <v>203</v>
      </c>
      <c r="B207" s="21">
        <v>46260</v>
      </c>
      <c r="C207" t="s">
        <v>189</v>
      </c>
      <c r="D207" s="24" t="s">
        <v>182</v>
      </c>
      <c r="E207" t="s">
        <v>253</v>
      </c>
      <c r="F207">
        <v>39407267</v>
      </c>
      <c r="G207" t="s">
        <v>65</v>
      </c>
      <c r="H207" t="str">
        <f>_xlfn.XLOOKUP(G207,产品资料!C:C,产品资料!E:E)</f>
        <v>4609中隔板(0.8MM)</v>
      </c>
      <c r="I207" s="23" t="str">
        <f>_xlfn.XLOOKUP(G207,产品资料!C:C,产品资料!F:F)</f>
        <v>0.8*481.5*550</v>
      </c>
      <c r="J207">
        <f t="shared" si="15"/>
        <v>204</v>
      </c>
      <c r="L207" s="28">
        <f>_xlfn.XLOOKUP(G207,产品资料!C:C,产品资料!O:O)*J207</f>
        <v>338.68969440000001</v>
      </c>
      <c r="M207" s="31">
        <f>IFERROR(_xlfn.XLOOKUP(G207,产品资料!C:C,产品资料!L:L)*J207,0)</f>
        <v>420.85200000000003</v>
      </c>
      <c r="N207">
        <f>IFERROR(_xlfn.XLOOKUP(G207,产品资料!C:C,产品资料!M:M)*J207,0)</f>
        <v>3060</v>
      </c>
      <c r="O207" s="51"/>
      <c r="P207" s="23">
        <f>IF(ISNUMBER(SEARCH("合包",R207)),SUMIFS(J:J,G:G,G:G,F:F,F:F)-SUMIFS(打包记录!J:J,打包记录!G:G,G:G,打包记录!F:F,F:F),SUMIFS(J:J,D:D,D:D,G:G,G:G,F:F,F:F)-SUMIFS(打包记录!J:J,打包记录!D:D,D:D,打包记录!G:G,G:G,打包记录!F:F,F:F))</f>
        <v>2</v>
      </c>
      <c r="Q207">
        <v>4</v>
      </c>
      <c r="R207" t="s">
        <v>166</v>
      </c>
    </row>
    <row r="208" spans="1:18" ht="14.25" customHeight="1" x14ac:dyDescent="0.15">
      <c r="A208">
        <v>204</v>
      </c>
      <c r="B208" s="21">
        <v>46260</v>
      </c>
      <c r="C208" t="s">
        <v>189</v>
      </c>
      <c r="D208" s="24" t="s">
        <v>182</v>
      </c>
      <c r="E208" t="s">
        <v>253</v>
      </c>
      <c r="F208">
        <v>39407267</v>
      </c>
      <c r="G208" t="s">
        <v>70</v>
      </c>
      <c r="H208" t="str">
        <f>_xlfn.XLOOKUP(G208,产品资料!C:C,产品资料!E:E)</f>
        <v>4609中隔内垫板(0.8MM)</v>
      </c>
      <c r="I208" s="23" t="str">
        <f>_xlfn.XLOOKUP(G208,产品资料!C:C,产品资料!F:F)</f>
        <v>0.8*112*550</v>
      </c>
      <c r="J208">
        <f t="shared" si="15"/>
        <v>612</v>
      </c>
      <c r="L208" s="28">
        <f>_xlfn.XLOOKUP(G208,产品资料!C:C,产品资料!O:O)*J208</f>
        <v>236.13603839999999</v>
      </c>
      <c r="M208" s="31">
        <f>IFERROR(_xlfn.XLOOKUP(G208,产品资料!C:C,产品资料!L:L)*J208,0)</f>
        <v>810.9</v>
      </c>
      <c r="N208">
        <f>IFERROR(_xlfn.XLOOKUP(G208,产品资料!C:C,产品资料!M:M)*J208,0)</f>
        <v>3060</v>
      </c>
      <c r="O208" s="51"/>
      <c r="P208" s="23">
        <f>IF(ISNUMBER(SEARCH("合包",R208)),SUMIFS(J:J,G:G,G:G,F:F,F:F)-SUMIFS(打包记录!J:J,打包记录!G:G,G:G,打包记录!F:F,F:F),SUMIFS(J:J,D:D,D:D,G:G,G:G,F:F,F:F)-SUMIFS(打包记录!J:J,打包记录!D:D,D:D,打包记录!G:G,G:G,打包记录!F:F,F:F))</f>
        <v>2</v>
      </c>
      <c r="Q208">
        <v>12</v>
      </c>
    </row>
    <row r="209" spans="1:18" ht="14.25" customHeight="1" x14ac:dyDescent="0.15">
      <c r="A209">
        <v>205</v>
      </c>
      <c r="B209" s="21">
        <v>46260</v>
      </c>
      <c r="C209" t="s">
        <v>189</v>
      </c>
      <c r="D209" s="24" t="s">
        <v>182</v>
      </c>
      <c r="E209" t="s">
        <v>253</v>
      </c>
      <c r="F209">
        <v>39407267</v>
      </c>
      <c r="G209" t="s">
        <v>100</v>
      </c>
      <c r="H209" t="str">
        <f>_xlfn.XLOOKUP(G209,产品资料!C:C,产品资料!E:E)</f>
        <v>4609小抽斗(0.8MM)</v>
      </c>
      <c r="I209" s="23" t="str">
        <f>_xlfn.XLOOKUP(G209,产品资料!C:C,产品资料!F:F)</f>
        <v>0.8*418*603</v>
      </c>
      <c r="J209">
        <f t="shared" si="15"/>
        <v>612</v>
      </c>
      <c r="L209" s="28">
        <f>_xlfn.XLOOKUP(G209,产品资料!C:C,产品资料!O:O)*J209</f>
        <v>962.4542111999998</v>
      </c>
      <c r="M209" s="31">
        <f>IFERROR(_xlfn.XLOOKUP(G209,产品资料!C:C,产品资料!L:L)*J209,0)</f>
        <v>1278.4680000000001</v>
      </c>
      <c r="N209">
        <f>IFERROR(_xlfn.XLOOKUP(G209,产品资料!C:C,产品资料!M:M)*J209,0)</f>
        <v>7344</v>
      </c>
      <c r="O209" s="51"/>
      <c r="P209" s="23">
        <f>IF(ISNUMBER(SEARCH("合包",R209)),SUMIFS(J:J,G:G,G:G,F:F,F:F)-SUMIFS(打包记录!J:J,打包记录!G:G,G:G,打包记录!F:F,F:F),SUMIFS(J:J,D:D,D:D,G:G,G:G,F:F,F:F)-SUMIFS(打包记录!J:J,打包记录!D:D,D:D,打包记录!G:G,G:G,打包记录!F:F,F:F))</f>
        <v>3</v>
      </c>
      <c r="Q209">
        <v>12</v>
      </c>
    </row>
    <row r="210" spans="1:18" ht="14.25" customHeight="1" x14ac:dyDescent="0.15">
      <c r="A210">
        <v>206</v>
      </c>
      <c r="B210" s="21">
        <v>46260</v>
      </c>
      <c r="C210" t="s">
        <v>189</v>
      </c>
      <c r="D210" s="24" t="s">
        <v>182</v>
      </c>
      <c r="E210" t="s">
        <v>253</v>
      </c>
      <c r="F210">
        <v>39407267</v>
      </c>
      <c r="G210" t="s">
        <v>110</v>
      </c>
      <c r="H210" t="str">
        <f>_xlfn.XLOOKUP(G210,产品资料!C:C,产品资料!E:E)</f>
        <v>4609中抽斗(0.8MM)</v>
      </c>
      <c r="I210" s="23" t="str">
        <f>_xlfn.XLOOKUP(G210,产品资料!C:C,产品资料!F:F)</f>
        <v>0.8*418*639</v>
      </c>
      <c r="J210">
        <f t="shared" si="15"/>
        <v>612</v>
      </c>
      <c r="L210" s="28">
        <f>_xlfn.XLOOKUP(G210,产品资料!C:C,产品资料!O:O)*J210</f>
        <v>1020.2967791999999</v>
      </c>
      <c r="M210" s="31">
        <f>IFERROR(_xlfn.XLOOKUP(G210,产品资料!C:C,产品资料!L:L)*J210,0)</f>
        <v>1322.5319999999999</v>
      </c>
      <c r="N210">
        <f>IFERROR(_xlfn.XLOOKUP(G210,产品资料!C:C,产品资料!M:M)*J210,0)</f>
        <v>7344</v>
      </c>
      <c r="O210" s="51"/>
      <c r="P210" s="23">
        <f>IF(ISNUMBER(SEARCH("合包",R210)),SUMIFS(J:J,G:G,G:G,F:F,F:F)-SUMIFS(打包记录!J:J,打包记录!G:G,G:G,打包记录!F:F,F:F),SUMIFS(J:J,D:D,D:D,G:G,G:G,F:F,F:F)-SUMIFS(打包记录!J:J,打包记录!D:D,D:D,打包记录!G:G,G:G,打包记录!F:F,F:F))</f>
        <v>2</v>
      </c>
      <c r="Q210">
        <v>12</v>
      </c>
    </row>
    <row r="211" spans="1:18" ht="14.25" customHeight="1" x14ac:dyDescent="0.15">
      <c r="A211">
        <v>207</v>
      </c>
      <c r="B211" s="21">
        <v>46261</v>
      </c>
      <c r="C211" t="s">
        <v>189</v>
      </c>
      <c r="D211" s="24" t="s">
        <v>182</v>
      </c>
      <c r="E211" t="s">
        <v>253</v>
      </c>
      <c r="F211">
        <v>39407267</v>
      </c>
      <c r="G211" t="s">
        <v>40</v>
      </c>
      <c r="H211" t="str">
        <f>_xlfn.XLOOKUP(G211,产品资料!C:C,产品资料!E:E)</f>
        <v>4609底盖（0.8MM)</v>
      </c>
      <c r="I211" s="23" t="str">
        <f>_xlfn.XLOOKUP(G211,产品资料!C:C,产品资料!F:F)</f>
        <v>0.8*552.5*1211</v>
      </c>
      <c r="J211">
        <f t="shared" ref="J211:J215" si="16">8*Q211-K211</f>
        <v>32</v>
      </c>
      <c r="L211" s="28">
        <f>_xlfn.XLOOKUP(G211,产品资料!C:C,产品资料!O:O)*J211</f>
        <v>133.00738560000002</v>
      </c>
      <c r="M211" s="31">
        <f>IFERROR(_xlfn.XLOOKUP(G211,产品资料!C:C,产品资料!L:L)*J211,0)</f>
        <v>114.592</v>
      </c>
      <c r="N211">
        <f>IFERROR(_xlfn.XLOOKUP(G211,产品资料!C:C,产品资料!M:M)*J211,0)</f>
        <v>512</v>
      </c>
      <c r="O211" s="51" t="s">
        <v>262</v>
      </c>
      <c r="P211" s="23">
        <f>IF(ISNUMBER(SEARCH("合包",R211)),SUMIFS(J:J,G:G,G:G,F:F,F:F)-SUMIFS(打包记录!J:J,打包记录!G:G,G:G,打包记录!F:F,F:F),SUMIFS(J:J,D:D,D:D,G:G,G:G,F:F,F:F)-SUMIFS(打包记录!J:J,打包记录!D:D,D:D,打包记录!G:G,G:G,打包记录!F:F,F:F))</f>
        <v>3</v>
      </c>
      <c r="Q211">
        <v>4</v>
      </c>
      <c r="R211" t="s">
        <v>166</v>
      </c>
    </row>
    <row r="212" spans="1:18" ht="14.25" customHeight="1" x14ac:dyDescent="0.15">
      <c r="A212">
        <v>208</v>
      </c>
      <c r="B212" s="21">
        <v>46261</v>
      </c>
      <c r="C212" t="s">
        <v>189</v>
      </c>
      <c r="D212" s="24" t="s">
        <v>182</v>
      </c>
      <c r="E212" t="s">
        <v>253</v>
      </c>
      <c r="F212">
        <v>39407267</v>
      </c>
      <c r="G212" t="s">
        <v>65</v>
      </c>
      <c r="H212" t="str">
        <f>_xlfn.XLOOKUP(G212,产品资料!C:C,产品资料!E:E)</f>
        <v>4609中隔板(0.8MM)</v>
      </c>
      <c r="I212" s="23" t="str">
        <f>_xlfn.XLOOKUP(G212,产品资料!C:C,产品资料!F:F)</f>
        <v>0.8*481.5*550</v>
      </c>
      <c r="J212">
        <f t="shared" si="16"/>
        <v>30</v>
      </c>
      <c r="K212">
        <v>2</v>
      </c>
      <c r="L212" s="28">
        <f>_xlfn.XLOOKUP(G212,产品资料!C:C,产品资料!O:O)*J212</f>
        <v>49.807307999999999</v>
      </c>
      <c r="M212" s="31">
        <f>IFERROR(_xlfn.XLOOKUP(G212,产品资料!C:C,产品资料!L:L)*J212,0)</f>
        <v>61.890000000000008</v>
      </c>
      <c r="N212">
        <f>IFERROR(_xlfn.XLOOKUP(G212,产品资料!C:C,产品资料!M:M)*J212,0)</f>
        <v>450</v>
      </c>
      <c r="O212" s="51"/>
      <c r="P212" s="23">
        <f>IF(ISNUMBER(SEARCH("合包",R212)),SUMIFS(J:J,G:G,G:G,F:F,F:F)-SUMIFS(打包记录!J:J,打包记录!G:G,G:G,打包记录!F:F,F:F),SUMIFS(J:J,D:D,D:D,G:G,G:G,F:F,F:F)-SUMIFS(打包记录!J:J,打包记录!D:D,D:D,打包记录!G:G,G:G,打包记录!F:F,F:F))</f>
        <v>2</v>
      </c>
      <c r="Q212">
        <v>4</v>
      </c>
      <c r="R212" t="s">
        <v>166</v>
      </c>
    </row>
    <row r="213" spans="1:18" ht="14.25" customHeight="1" x14ac:dyDescent="0.15">
      <c r="A213">
        <v>209</v>
      </c>
      <c r="B213" s="21">
        <v>46261</v>
      </c>
      <c r="C213" t="s">
        <v>189</v>
      </c>
      <c r="D213" s="24" t="s">
        <v>182</v>
      </c>
      <c r="E213" t="s">
        <v>253</v>
      </c>
      <c r="F213">
        <v>39407267</v>
      </c>
      <c r="G213" t="s">
        <v>70</v>
      </c>
      <c r="H213" t="str">
        <f>_xlfn.XLOOKUP(G213,产品资料!C:C,产品资料!E:E)</f>
        <v>4609中隔内垫板(0.8MM)</v>
      </c>
      <c r="I213" s="23" t="str">
        <f>_xlfn.XLOOKUP(G213,产品资料!C:C,产品资料!F:F)</f>
        <v>0.8*112*550</v>
      </c>
      <c r="J213">
        <f t="shared" si="16"/>
        <v>84</v>
      </c>
      <c r="K213">
        <v>12</v>
      </c>
      <c r="L213" s="28">
        <f>_xlfn.XLOOKUP(G213,产品资料!C:C,产品资料!O:O)*J213</f>
        <v>32.410828799999997</v>
      </c>
      <c r="M213" s="31">
        <f>IFERROR(_xlfn.XLOOKUP(G213,产品资料!C:C,产品资料!L:L)*J213,0)</f>
        <v>111.3</v>
      </c>
      <c r="N213">
        <f>IFERROR(_xlfn.XLOOKUP(G213,产品资料!C:C,产品资料!M:M)*J213,0)</f>
        <v>420</v>
      </c>
      <c r="O213" s="51"/>
      <c r="P213" s="23">
        <f>IF(ISNUMBER(SEARCH("合包",R213)),SUMIFS(J:J,G:G,G:G,F:F,F:F)-SUMIFS(打包记录!J:J,打包记录!G:G,G:G,打包记录!F:F,F:F),SUMIFS(J:J,D:D,D:D,G:G,G:G,F:F,F:F)-SUMIFS(打包记录!J:J,打包记录!D:D,D:D,打包记录!G:G,G:G,打包记录!F:F,F:F))</f>
        <v>2</v>
      </c>
      <c r="Q213">
        <v>12</v>
      </c>
    </row>
    <row r="214" spans="1:18" ht="14.25" customHeight="1" x14ac:dyDescent="0.15">
      <c r="A214">
        <v>210</v>
      </c>
      <c r="B214" s="21">
        <v>46261</v>
      </c>
      <c r="C214" t="s">
        <v>189</v>
      </c>
      <c r="D214" s="24" t="s">
        <v>182</v>
      </c>
      <c r="E214" t="s">
        <v>253</v>
      </c>
      <c r="F214">
        <v>39407267</v>
      </c>
      <c r="G214" t="s">
        <v>100</v>
      </c>
      <c r="H214" t="str">
        <f>_xlfn.XLOOKUP(G214,产品资料!C:C,产品资料!E:E)</f>
        <v>4609小抽斗(0.8MM)</v>
      </c>
      <c r="I214" s="23" t="str">
        <f>_xlfn.XLOOKUP(G214,产品资料!C:C,产品资料!F:F)</f>
        <v>0.8*418*603</v>
      </c>
      <c r="J214">
        <f t="shared" si="16"/>
        <v>83</v>
      </c>
      <c r="K214">
        <v>13</v>
      </c>
      <c r="L214" s="28">
        <f>_xlfn.XLOOKUP(G214,产品资料!C:C,产品资料!O:O)*J214</f>
        <v>130.52892079999998</v>
      </c>
      <c r="M214" s="31">
        <f>IFERROR(_xlfn.XLOOKUP(G214,产品资料!C:C,产品资料!L:L)*J214,0)</f>
        <v>173.387</v>
      </c>
      <c r="N214">
        <f>IFERROR(_xlfn.XLOOKUP(G214,产品资料!C:C,产品资料!M:M)*J214,0)</f>
        <v>996</v>
      </c>
      <c r="O214" s="51"/>
      <c r="P214" s="23">
        <f>IF(ISNUMBER(SEARCH("合包",R214)),SUMIFS(J:J,G:G,G:G,F:F,F:F)-SUMIFS(打包记录!J:J,打包记录!G:G,G:G,打包记录!F:F,F:F),SUMIFS(J:J,D:D,D:D,G:G,G:G,F:F,F:F)-SUMIFS(打包记录!J:J,打包记录!D:D,D:D,打包记录!G:G,G:G,打包记录!F:F,F:F))</f>
        <v>3</v>
      </c>
      <c r="Q214">
        <v>12</v>
      </c>
    </row>
    <row r="215" spans="1:18" ht="14.25" customHeight="1" x14ac:dyDescent="0.15">
      <c r="A215">
        <v>211</v>
      </c>
      <c r="B215" s="21">
        <v>46261</v>
      </c>
      <c r="C215" t="s">
        <v>189</v>
      </c>
      <c r="D215" s="24" t="s">
        <v>182</v>
      </c>
      <c r="E215" t="s">
        <v>253</v>
      </c>
      <c r="F215">
        <v>39407267</v>
      </c>
      <c r="G215" t="s">
        <v>110</v>
      </c>
      <c r="H215" t="str">
        <f>_xlfn.XLOOKUP(G215,产品资料!C:C,产品资料!E:E)</f>
        <v>4609中抽斗(0.8MM)</v>
      </c>
      <c r="I215" s="23" t="str">
        <f>_xlfn.XLOOKUP(G215,产品资料!C:C,产品资料!F:F)</f>
        <v>0.8*418*639</v>
      </c>
      <c r="J215">
        <f t="shared" si="16"/>
        <v>87</v>
      </c>
      <c r="K215">
        <v>9</v>
      </c>
      <c r="L215" s="28">
        <f>_xlfn.XLOOKUP(G215,产品资料!C:C,产品资料!O:O)*J215</f>
        <v>145.0421892</v>
      </c>
      <c r="M215" s="31">
        <f>IFERROR(_xlfn.XLOOKUP(G215,产品资料!C:C,产品资料!L:L)*J215,0)</f>
        <v>188.00700000000001</v>
      </c>
      <c r="N215">
        <f>IFERROR(_xlfn.XLOOKUP(G215,产品资料!C:C,产品资料!M:M)*J215,0)</f>
        <v>1044</v>
      </c>
      <c r="O215" s="51"/>
      <c r="P215" s="23">
        <f>IF(ISNUMBER(SEARCH("合包",R215)),SUMIFS(J:J,G:G,G:G,F:F,F:F)-SUMIFS(打包记录!J:J,打包记录!G:G,G:G,打包记录!F:F,F:F),SUMIFS(J:J,D:D,D:D,G:G,G:G,F:F,F:F)-SUMIFS(打包记录!J:J,打包记录!D:D,D:D,打包记录!G:G,G:G,打包记录!F:F,F:F))</f>
        <v>2</v>
      </c>
      <c r="Q215">
        <v>12</v>
      </c>
    </row>
    <row r="216" spans="1:18" ht="14.25" customHeight="1" x14ac:dyDescent="0.15">
      <c r="A216">
        <v>212</v>
      </c>
      <c r="B216" s="21">
        <v>46261</v>
      </c>
      <c r="C216" t="s">
        <v>189</v>
      </c>
      <c r="D216" s="24" t="s">
        <v>182</v>
      </c>
      <c r="E216" t="s">
        <v>253</v>
      </c>
      <c r="F216">
        <v>39407267</v>
      </c>
      <c r="G216" t="s">
        <v>35</v>
      </c>
      <c r="H216" t="str">
        <f>_xlfn.XLOOKUP(G216,产品资料!C:C,产品资料!E:E)</f>
        <v>4609顶盖（0.8MM)</v>
      </c>
      <c r="I216" s="23" t="str">
        <f>_xlfn.XLOOKUP(G216,产品资料!C:C,产品资料!F:F)</f>
        <v>0.8*552*1168.5</v>
      </c>
      <c r="J216">
        <f>39*Q216-K216</f>
        <v>771</v>
      </c>
      <c r="K216">
        <v>9</v>
      </c>
      <c r="L216" s="28">
        <f>_xlfn.XLOOKUP(G216,产品资料!C:C,产品资料!O:O)*J216</f>
        <v>3116.5728995999998</v>
      </c>
      <c r="M216" s="31">
        <f>IFERROR(_xlfn.XLOOKUP(G216,产品资料!C:C,产品资料!L:L)*J216,0)</f>
        <v>2636.049</v>
      </c>
      <c r="N216">
        <f>IFERROR(_xlfn.XLOOKUP(G216,产品资料!C:C,产品资料!M:M)*J216,0)</f>
        <v>14649</v>
      </c>
      <c r="O216" s="34" t="s">
        <v>263</v>
      </c>
      <c r="P216" s="23">
        <f>IF(ISNUMBER(SEARCH("合包",R216)),SUMIFS(J:J,G:G,G:G,F:F,F:F)-SUMIFS(打包记录!J:J,打包记录!G:G,G:G,打包记录!F:F,F:F),SUMIFS(J:J,D:D,D:D,G:G,G:G,F:F,F:F)-SUMIFS(打包记录!J:J,打包记录!D:D,D:D,打包记录!G:G,G:G,打包记录!F:F,F:F))</f>
        <v>5</v>
      </c>
      <c r="Q216">
        <v>20</v>
      </c>
    </row>
    <row r="217" spans="1:18" ht="14.25" customHeight="1" x14ac:dyDescent="0.15">
      <c r="A217">
        <v>213</v>
      </c>
      <c r="B217" s="21">
        <v>46261</v>
      </c>
      <c r="C217" t="s">
        <v>189</v>
      </c>
      <c r="D217" s="24" t="s">
        <v>182</v>
      </c>
      <c r="E217" t="s">
        <v>253</v>
      </c>
      <c r="F217">
        <v>39407267</v>
      </c>
      <c r="G217" t="s">
        <v>35</v>
      </c>
      <c r="H217" t="str">
        <f>_xlfn.XLOOKUP(G217,产品资料!C:C,产品资料!E:E)</f>
        <v>4609顶盖（0.8MM)</v>
      </c>
      <c r="I217" s="23" t="str">
        <f>_xlfn.XLOOKUP(G217,产品资料!C:C,产品资料!F:F)</f>
        <v>0.8*552*1168.5</v>
      </c>
      <c r="J217">
        <f>33.25*Q217-K217</f>
        <v>266</v>
      </c>
      <c r="L217" s="28">
        <f>_xlfn.XLOOKUP(G217,产品资料!C:C,产品资料!O:O)*J217</f>
        <v>1075.2378615999999</v>
      </c>
      <c r="M217" s="31">
        <f>IFERROR(_xlfn.XLOOKUP(G217,产品资料!C:C,产品资料!L:L)*J217,0)</f>
        <v>909.45400000000006</v>
      </c>
      <c r="N217">
        <f>IFERROR(_xlfn.XLOOKUP(G217,产品资料!C:C,产品资料!M:M)*J217,0)</f>
        <v>5054</v>
      </c>
      <c r="O217" s="51" t="s">
        <v>264</v>
      </c>
      <c r="P217" s="23">
        <f>IF(ISNUMBER(SEARCH("合包",R217)),SUMIFS(J:J,G:G,G:G,F:F,F:F)-SUMIFS(打包记录!J:J,打包记录!G:G,G:G,打包记录!F:F,F:F),SUMIFS(J:J,D:D,D:D,G:G,G:G,F:F,F:F)-SUMIFS(打包记录!J:J,打包记录!D:D,D:D,打包记录!G:G,G:G,打包记录!F:F,F:F))</f>
        <v>5</v>
      </c>
      <c r="Q217">
        <v>8</v>
      </c>
    </row>
    <row r="218" spans="1:18" ht="14.25" customHeight="1" x14ac:dyDescent="0.15">
      <c r="A218">
        <v>214</v>
      </c>
      <c r="B218" s="21">
        <v>46261</v>
      </c>
      <c r="C218" t="s">
        <v>189</v>
      </c>
      <c r="D218" s="24" t="s">
        <v>182</v>
      </c>
      <c r="E218" t="s">
        <v>253</v>
      </c>
      <c r="F218">
        <v>39407267</v>
      </c>
      <c r="G218" t="s">
        <v>40</v>
      </c>
      <c r="H218" t="str">
        <f>_xlfn.XLOOKUP(G218,产品资料!C:C,产品资料!E:E)</f>
        <v>4609底盖（0.8MM)</v>
      </c>
      <c r="I218" s="23" t="str">
        <f>_xlfn.XLOOKUP(G218,产品资料!C:C,产品资料!F:F)</f>
        <v>0.8*552.5*1211</v>
      </c>
      <c r="J218">
        <f t="shared" ref="J218:J219" si="17">33.25*Q218-K218</f>
        <v>266</v>
      </c>
      <c r="L218" s="28">
        <f>_xlfn.XLOOKUP(G218,产品资料!C:C,产品资料!O:O)*J218</f>
        <v>1105.6238928000002</v>
      </c>
      <c r="M218" s="31">
        <f>IFERROR(_xlfn.XLOOKUP(G218,产品资料!C:C,产品资料!L:L)*J218,0)</f>
        <v>952.54599999999994</v>
      </c>
      <c r="N218">
        <f>IFERROR(_xlfn.XLOOKUP(G218,产品资料!C:C,产品资料!M:M)*J218,0)</f>
        <v>4256</v>
      </c>
      <c r="O218" s="51"/>
      <c r="P218" s="23">
        <f>IF(ISNUMBER(SEARCH("合包",R218)),SUMIFS(J:J,G:G,G:G,F:F,F:F)-SUMIFS(打包记录!J:J,打包记录!G:G,G:G,打包记录!F:F,F:F),SUMIFS(J:J,D:D,D:D,G:G,G:G,F:F,F:F)-SUMIFS(打包记录!J:J,打包记录!D:D,D:D,打包记录!G:G,G:G,打包记录!F:F,F:F))</f>
        <v>3</v>
      </c>
      <c r="Q218">
        <v>8</v>
      </c>
      <c r="R218" t="s">
        <v>166</v>
      </c>
    </row>
    <row r="219" spans="1:18" ht="14.25" customHeight="1" x14ac:dyDescent="0.15">
      <c r="A219">
        <v>215</v>
      </c>
      <c r="B219" s="21">
        <v>46261</v>
      </c>
      <c r="C219" t="s">
        <v>189</v>
      </c>
      <c r="D219" s="24" t="s">
        <v>182</v>
      </c>
      <c r="E219" t="s">
        <v>253</v>
      </c>
      <c r="F219">
        <v>39407267</v>
      </c>
      <c r="G219" t="s">
        <v>65</v>
      </c>
      <c r="H219" t="str">
        <f>_xlfn.XLOOKUP(G219,产品资料!C:C,产品资料!E:E)</f>
        <v>4609中隔板(0.8MM)</v>
      </c>
      <c r="I219" s="23" t="str">
        <f>_xlfn.XLOOKUP(G219,产品资料!C:C,产品资料!F:F)</f>
        <v>0.8*481.5*550</v>
      </c>
      <c r="J219">
        <f t="shared" si="17"/>
        <v>266</v>
      </c>
      <c r="L219" s="28">
        <f>_xlfn.XLOOKUP(G219,产品资料!C:C,产品资料!O:O)*J219</f>
        <v>441.62479760000002</v>
      </c>
      <c r="M219" s="31">
        <f>IFERROR(_xlfn.XLOOKUP(G219,产品资料!C:C,产品资料!L:L)*J219,0)</f>
        <v>548.75800000000004</v>
      </c>
      <c r="N219">
        <f>IFERROR(_xlfn.XLOOKUP(G219,产品资料!C:C,产品资料!M:M)*J219,0)</f>
        <v>3990</v>
      </c>
      <c r="O219" s="51"/>
      <c r="P219" s="23">
        <f>IF(ISNUMBER(SEARCH("合包",R219)),SUMIFS(J:J,G:G,G:G,F:F,F:F)-SUMIFS(打包记录!J:J,打包记录!G:G,G:G,打包记录!F:F,F:F),SUMIFS(J:J,D:D,D:D,G:G,G:G,F:F,F:F)-SUMIFS(打包记录!J:J,打包记录!D:D,D:D,打包记录!G:G,G:G,打包记录!F:F,F:F))</f>
        <v>2</v>
      </c>
      <c r="Q219">
        <v>8</v>
      </c>
      <c r="R219" t="s">
        <v>166</v>
      </c>
    </row>
    <row r="220" spans="1:18" ht="14.25" customHeight="1" x14ac:dyDescent="0.15">
      <c r="A220">
        <v>216</v>
      </c>
      <c r="B220" s="21">
        <v>46262</v>
      </c>
      <c r="C220" t="s">
        <v>189</v>
      </c>
      <c r="D220" s="24" t="s">
        <v>182</v>
      </c>
      <c r="E220" t="s">
        <v>253</v>
      </c>
      <c r="F220">
        <v>39407267</v>
      </c>
      <c r="G220" t="s">
        <v>35</v>
      </c>
      <c r="H220" t="str">
        <f>_xlfn.XLOOKUP(G220,产品资料!C:C,产品资料!E:E)</f>
        <v>4609顶盖（0.8MM)</v>
      </c>
      <c r="I220" s="23" t="str">
        <f>_xlfn.XLOOKUP(G220,产品资料!C:C,产品资料!F:F)</f>
        <v>0.8*552*1168.5</v>
      </c>
      <c r="J220">
        <f>0.5*Q220-K220</f>
        <v>4</v>
      </c>
      <c r="L220" s="28">
        <f>_xlfn.XLOOKUP(G220,产品资料!C:C,产品资料!O:O)*J220</f>
        <v>16.168990399999998</v>
      </c>
      <c r="M220" s="31">
        <f>IFERROR(_xlfn.XLOOKUP(G220,产品资料!C:C,产品资料!L:L)*J220,0)</f>
        <v>13.676</v>
      </c>
      <c r="N220">
        <f>IFERROR(_xlfn.XLOOKUP(G220,产品资料!C:C,产品资料!M:M)*J220,0)</f>
        <v>76</v>
      </c>
      <c r="O220" s="51" t="s">
        <v>181</v>
      </c>
      <c r="P220" s="23">
        <f>IF(ISNUMBER(SEARCH("合包",R220)),SUMIFS(J:J,G:G,G:G,F:F,F:F)-SUMIFS(打包记录!J:J,打包记录!G:G,G:G,打包记录!F:F,F:F),SUMIFS(J:J,D:D,D:D,G:G,G:G,F:F,F:F)-SUMIFS(打包记录!J:J,打包记录!D:D,D:D,打包记录!G:G,G:G,打包记录!F:F,F:F))</f>
        <v>5</v>
      </c>
      <c r="Q220">
        <v>8</v>
      </c>
    </row>
    <row r="221" spans="1:18" ht="14.25" customHeight="1" x14ac:dyDescent="0.15">
      <c r="A221">
        <v>217</v>
      </c>
      <c r="B221" s="21">
        <v>46262</v>
      </c>
      <c r="C221" t="s">
        <v>189</v>
      </c>
      <c r="D221" s="24" t="s">
        <v>182</v>
      </c>
      <c r="E221" t="s">
        <v>253</v>
      </c>
      <c r="F221">
        <v>39407267</v>
      </c>
      <c r="G221" t="s">
        <v>40</v>
      </c>
      <c r="H221" t="str">
        <f>_xlfn.XLOOKUP(G221,产品资料!C:C,产品资料!E:E)</f>
        <v>4609底盖（0.8MM)</v>
      </c>
      <c r="I221" s="23" t="str">
        <f>_xlfn.XLOOKUP(G221,产品资料!C:C,产品资料!F:F)</f>
        <v>0.8*552.5*1211</v>
      </c>
      <c r="J221">
        <f t="shared" ref="J221:J222" si="18">0.5*Q221-K221</f>
        <v>3</v>
      </c>
      <c r="K221">
        <v>1</v>
      </c>
      <c r="L221" s="28">
        <f>_xlfn.XLOOKUP(G221,产品资料!C:C,产品资料!O:O)*J221</f>
        <v>12.469442400000002</v>
      </c>
      <c r="M221" s="31">
        <f>IFERROR(_xlfn.XLOOKUP(G221,产品资料!C:C,产品资料!L:L)*J221,0)</f>
        <v>10.743</v>
      </c>
      <c r="N221">
        <f>IFERROR(_xlfn.XLOOKUP(G221,产品资料!C:C,产品资料!M:M)*J221,0)</f>
        <v>48</v>
      </c>
      <c r="O221" s="51"/>
      <c r="P221" s="23">
        <f>IF(ISNUMBER(SEARCH("合包",R221)),SUMIFS(J:J,G:G,G:G,F:F,F:F)-SUMIFS(打包记录!J:J,打包记录!G:G,G:G,打包记录!F:F,F:F),SUMIFS(J:J,D:D,D:D,G:G,G:G,F:F,F:F)-SUMIFS(打包记录!J:J,打包记录!D:D,D:D,打包记录!G:G,G:G,打包记录!F:F,F:F))</f>
        <v>3</v>
      </c>
      <c r="Q221">
        <v>8</v>
      </c>
      <c r="R221" t="s">
        <v>166</v>
      </c>
    </row>
    <row r="222" spans="1:18" ht="14.25" customHeight="1" x14ac:dyDescent="0.15">
      <c r="A222">
        <v>218</v>
      </c>
      <c r="B222" s="21">
        <v>46262</v>
      </c>
      <c r="C222" t="s">
        <v>189</v>
      </c>
      <c r="D222" s="24" t="s">
        <v>182</v>
      </c>
      <c r="E222" t="s">
        <v>253</v>
      </c>
      <c r="F222">
        <v>39407267</v>
      </c>
      <c r="G222" t="s">
        <v>65</v>
      </c>
      <c r="H222" t="str">
        <f>_xlfn.XLOOKUP(G222,产品资料!C:C,产品资料!E:E)</f>
        <v>4609中隔板(0.8MM)</v>
      </c>
      <c r="I222" s="23" t="str">
        <f>_xlfn.XLOOKUP(G222,产品资料!C:C,产品资料!F:F)</f>
        <v>0.8*481.5*550</v>
      </c>
      <c r="J222">
        <f t="shared" si="18"/>
        <v>4</v>
      </c>
      <c r="L222" s="28">
        <f>_xlfn.XLOOKUP(G222,产品资料!C:C,产品资料!O:O)*J222</f>
        <v>6.6409744000000002</v>
      </c>
      <c r="M222" s="31">
        <f>IFERROR(_xlfn.XLOOKUP(G222,产品资料!C:C,产品资料!L:L)*J222,0)</f>
        <v>8.2520000000000007</v>
      </c>
      <c r="N222">
        <f>IFERROR(_xlfn.XLOOKUP(G222,产品资料!C:C,产品资料!M:M)*J222,0)</f>
        <v>60</v>
      </c>
      <c r="O222" s="51"/>
      <c r="P222" s="23">
        <f>IF(ISNUMBER(SEARCH("合包",R222)),SUMIFS(J:J,G:G,G:G,F:F,F:F)-SUMIFS(打包记录!J:J,打包记录!G:G,G:G,打包记录!F:F,F:F),SUMIFS(J:J,D:D,D:D,G:G,G:G,F:F,F:F)-SUMIFS(打包记录!J:J,打包记录!D:D,D:D,打包记录!G:G,G:G,打包记录!F:F,F:F))</f>
        <v>2</v>
      </c>
      <c r="Q222">
        <v>8</v>
      </c>
      <c r="R222" t="s">
        <v>166</v>
      </c>
    </row>
    <row r="223" spans="1:18" ht="14.25" customHeight="1" x14ac:dyDescent="0.15">
      <c r="A223">
        <v>219</v>
      </c>
      <c r="B223" s="21">
        <v>46262</v>
      </c>
      <c r="C223" t="s">
        <v>189</v>
      </c>
      <c r="D223" s="24" t="s">
        <v>182</v>
      </c>
      <c r="E223" t="s">
        <v>253</v>
      </c>
      <c r="F223">
        <v>39407267</v>
      </c>
      <c r="G223" t="s">
        <v>100</v>
      </c>
      <c r="H223" t="str">
        <f>_xlfn.XLOOKUP(G223,产品资料!C:C,产品资料!E:E)</f>
        <v>4609小抽斗(0.8MM)</v>
      </c>
      <c r="I223" s="23" t="str">
        <f>_xlfn.XLOOKUP(G223,产品资料!C:C,产品资料!F:F)</f>
        <v>0.8*418*603</v>
      </c>
      <c r="J223">
        <f>7*Q223-K223</f>
        <v>158</v>
      </c>
      <c r="K223">
        <f>12+26</f>
        <v>38</v>
      </c>
      <c r="L223" s="28">
        <f>_xlfn.XLOOKUP(G223,产品资料!C:C,产品资料!O:O)*J223</f>
        <v>248.47674079999996</v>
      </c>
      <c r="M223" s="31">
        <f>IFERROR(_xlfn.XLOOKUP(G223,产品资料!C:C,产品资料!L:L)*J223,0)</f>
        <v>330.06200000000001</v>
      </c>
      <c r="N223">
        <f>IFERROR(_xlfn.XLOOKUP(G223,产品资料!C:C,产品资料!M:M)*J223,0)</f>
        <v>1896</v>
      </c>
      <c r="O223" s="51" t="s">
        <v>188</v>
      </c>
      <c r="P223" s="23">
        <f>IF(ISNUMBER(SEARCH("合包",R223)),SUMIFS(J:J,G:G,G:G,F:F,F:F)-SUMIFS(打包记录!J:J,打包记录!G:G,G:G,打包记录!F:F,F:F),SUMIFS(J:J,D:D,D:D,G:G,G:G,F:F,F:F)-SUMIFS(打包记录!J:J,打包记录!D:D,D:D,打包记录!G:G,G:G,打包记录!F:F,F:F))</f>
        <v>3</v>
      </c>
      <c r="Q223">
        <v>28</v>
      </c>
    </row>
    <row r="224" spans="1:18" ht="14.25" customHeight="1" x14ac:dyDescent="0.15">
      <c r="A224">
        <v>220</v>
      </c>
      <c r="B224" s="21">
        <v>46262</v>
      </c>
      <c r="C224" t="s">
        <v>189</v>
      </c>
      <c r="D224" s="24" t="s">
        <v>182</v>
      </c>
      <c r="E224" t="s">
        <v>253</v>
      </c>
      <c r="F224">
        <v>39407267</v>
      </c>
      <c r="G224" t="s">
        <v>110</v>
      </c>
      <c r="H224" t="str">
        <f>_xlfn.XLOOKUP(G224,产品资料!C:C,产品资料!E:E)</f>
        <v>4609中抽斗(0.8MM)</v>
      </c>
      <c r="I224" s="23" t="str">
        <f>_xlfn.XLOOKUP(G224,产品资料!C:C,产品资料!F:F)</f>
        <v>0.8*418*639</v>
      </c>
      <c r="J224">
        <f>7*Q224-K224</f>
        <v>157</v>
      </c>
      <c r="K224">
        <f>11+28</f>
        <v>39</v>
      </c>
      <c r="L224" s="28">
        <f>_xlfn.XLOOKUP(G224,产品资料!C:C,产品资料!O:O)*J224</f>
        <v>261.74280119999997</v>
      </c>
      <c r="M224" s="31">
        <f>IFERROR(_xlfn.XLOOKUP(G224,产品资料!C:C,产品资料!L:L)*J224,0)</f>
        <v>339.27699999999999</v>
      </c>
      <c r="N224">
        <f>IFERROR(_xlfn.XLOOKUP(G224,产品资料!C:C,产品资料!M:M)*J224,0)</f>
        <v>1884</v>
      </c>
      <c r="O224" s="51"/>
      <c r="P224" s="23">
        <f>IF(ISNUMBER(SEARCH("合包",R224)),SUMIFS(J:J,G:G,G:G,F:F,F:F)-SUMIFS(打包记录!J:J,打包记录!G:G,G:G,打包记录!F:F,F:F),SUMIFS(J:J,D:D,D:D,G:G,G:G,F:F,F:F)-SUMIFS(打包记录!J:J,打包记录!D:D,D:D,打包记录!G:G,G:G,打包记录!F:F,F:F))</f>
        <v>2</v>
      </c>
      <c r="Q224">
        <v>28</v>
      </c>
    </row>
    <row r="225" spans="1:18" ht="14.25" customHeight="1" x14ac:dyDescent="0.15">
      <c r="A225">
        <v>221</v>
      </c>
      <c r="B225" s="21">
        <v>46262</v>
      </c>
      <c r="C225" t="s">
        <v>189</v>
      </c>
      <c r="D225" s="24" t="s">
        <v>182</v>
      </c>
      <c r="E225" t="s">
        <v>253</v>
      </c>
      <c r="F225">
        <v>39407267</v>
      </c>
      <c r="G225" t="s">
        <v>100</v>
      </c>
      <c r="H225" t="str">
        <f>_xlfn.XLOOKUP(G225,产品资料!C:C,产品资料!E:E)</f>
        <v>4609小抽斗(0.8MM)</v>
      </c>
      <c r="I225" s="23" t="str">
        <f>_xlfn.XLOOKUP(G225,产品资料!C:C,产品资料!F:F)</f>
        <v>0.8*418*603</v>
      </c>
      <c r="J225">
        <f>3.25*Q225-K225</f>
        <v>52</v>
      </c>
      <c r="L225" s="28">
        <f>_xlfn.XLOOKUP(G225,产品资料!C:C,产品资料!O:O)*J225</f>
        <v>81.777155199999982</v>
      </c>
      <c r="M225" s="31">
        <f>IFERROR(_xlfn.XLOOKUP(G225,产品资料!C:C,产品资料!L:L)*J225,0)</f>
        <v>108.628</v>
      </c>
      <c r="N225">
        <f>IFERROR(_xlfn.XLOOKUP(G225,产品资料!C:C,产品资料!M:M)*J225,0)</f>
        <v>624</v>
      </c>
      <c r="O225" s="50" t="s">
        <v>265</v>
      </c>
      <c r="P225" s="23">
        <f>IF(ISNUMBER(SEARCH("合包",R225)),SUMIFS(J:J,G:G,G:G,F:F,F:F)-SUMIFS(打包记录!J:J,打包记录!G:G,G:G,打包记录!F:F,F:F),SUMIFS(J:J,D:D,D:D,G:G,G:G,F:F,F:F)-SUMIFS(打包记录!J:J,打包记录!D:D,D:D,打包记录!G:G,G:G,打包记录!F:F,F:F))</f>
        <v>3</v>
      </c>
      <c r="Q225">
        <v>16</v>
      </c>
    </row>
    <row r="226" spans="1:18" ht="14.25" customHeight="1" x14ac:dyDescent="0.15">
      <c r="A226">
        <v>222</v>
      </c>
      <c r="B226" s="21">
        <v>46262</v>
      </c>
      <c r="C226" t="s">
        <v>189</v>
      </c>
      <c r="D226" s="24" t="s">
        <v>182</v>
      </c>
      <c r="E226" t="s">
        <v>253</v>
      </c>
      <c r="F226">
        <v>39407267</v>
      </c>
      <c r="G226" t="s">
        <v>40</v>
      </c>
      <c r="H226" t="str">
        <f>_xlfn.XLOOKUP(G226,产品资料!C:C,产品资料!E:E)</f>
        <v>4609底盖（0.8MM)</v>
      </c>
      <c r="I226" s="23" t="str">
        <f>_xlfn.XLOOKUP(G226,产品资料!C:C,产品资料!F:F)</f>
        <v>0.8*552.5*1211</v>
      </c>
      <c r="J226">
        <f t="shared" ref="J226" si="19">3.25*Q226-K226</f>
        <v>26</v>
      </c>
      <c r="L226" s="28">
        <f>_xlfn.XLOOKUP(G226,产品资料!C:C,产品资料!O:O)*J226</f>
        <v>108.06850080000001</v>
      </c>
      <c r="M226" s="31">
        <f>IFERROR(_xlfn.XLOOKUP(G226,产品资料!C:C,产品资料!L:L)*J226,0)</f>
        <v>93.105999999999995</v>
      </c>
      <c r="N226">
        <f>IFERROR(_xlfn.XLOOKUP(G226,产品资料!C:C,产品资料!M:M)*J226,0)</f>
        <v>416</v>
      </c>
      <c r="O226" s="51"/>
      <c r="P226" s="23">
        <f>IF(ISNUMBER(SEARCH("合包",R226)),SUMIFS(J:J,G:G,G:G,F:F,F:F)-SUMIFS(打包记录!J:J,打包记录!G:G,G:G,打包记录!F:F,F:F),SUMIFS(J:J,D:D,D:D,G:G,G:G,F:F,F:F)-SUMIFS(打包记录!J:J,打包记录!D:D,D:D,打包记录!G:G,G:G,打包记录!F:F,F:F))</f>
        <v>3</v>
      </c>
      <c r="Q226">
        <v>8</v>
      </c>
      <c r="R226" t="s">
        <v>166</v>
      </c>
    </row>
    <row r="227" spans="1:18" ht="14.25" customHeight="1" x14ac:dyDescent="0.15">
      <c r="A227">
        <v>223</v>
      </c>
      <c r="B227" s="21">
        <v>46262</v>
      </c>
      <c r="C227" t="s">
        <v>189</v>
      </c>
      <c r="D227" s="24" t="s">
        <v>182</v>
      </c>
      <c r="E227" t="s">
        <v>253</v>
      </c>
      <c r="F227">
        <v>39407267</v>
      </c>
      <c r="G227" t="s">
        <v>100</v>
      </c>
      <c r="H227" t="str">
        <f>_xlfn.XLOOKUP(G227,产品资料!C:C,产品资料!E:E)</f>
        <v>4609小抽斗(0.8MM)</v>
      </c>
      <c r="I227" s="23" t="str">
        <f>_xlfn.XLOOKUP(G227,产品资料!C:C,产品资料!F:F)</f>
        <v>0.8*418*603</v>
      </c>
      <c r="J227">
        <f>28.5*Q227-K227</f>
        <v>912</v>
      </c>
      <c r="L227" s="28">
        <f>_xlfn.XLOOKUP(G227,产品资料!C:C,产品资料!O:O)*J227</f>
        <v>1434.2454911999998</v>
      </c>
      <c r="M227" s="31">
        <f>IFERROR(_xlfn.XLOOKUP(G227,产品资料!C:C,产品资料!L:L)*J227,0)</f>
        <v>1905.1679999999999</v>
      </c>
      <c r="N227">
        <f>IFERROR(_xlfn.XLOOKUP(G227,产品资料!C:C,产品资料!M:M)*J227,0)</f>
        <v>10944</v>
      </c>
      <c r="O227" s="35" t="s">
        <v>266</v>
      </c>
      <c r="P227" s="23">
        <f>IF(ISNUMBER(SEARCH("合包",R227)),SUMIFS(J:J,G:G,G:G,F:F,F:F)-SUMIFS(打包记录!J:J,打包记录!G:G,G:G,打包记录!F:F,F:F),SUMIFS(J:J,D:D,D:D,G:G,G:G,F:F,F:F)-SUMIFS(打包记录!J:J,打包记录!D:D,D:D,打包记录!G:G,G:G,打包记录!F:F,F:F))</f>
        <v>3</v>
      </c>
      <c r="Q227">
        <v>32</v>
      </c>
    </row>
    <row r="228" spans="1:18" ht="14.25" customHeight="1" x14ac:dyDescent="0.15">
      <c r="A228">
        <v>224</v>
      </c>
      <c r="B228" s="21">
        <v>46262</v>
      </c>
      <c r="C228" t="s">
        <v>189</v>
      </c>
      <c r="D228" s="24" t="s">
        <v>182</v>
      </c>
      <c r="E228" t="s">
        <v>253</v>
      </c>
      <c r="F228">
        <v>39407267</v>
      </c>
      <c r="G228" t="s">
        <v>35</v>
      </c>
      <c r="H228" t="str">
        <f>_xlfn.XLOOKUP(G228,产品资料!C:C,产品资料!E:E)</f>
        <v>4609顶盖（0.8MM)</v>
      </c>
      <c r="I228" s="23" t="str">
        <f>_xlfn.XLOOKUP(G228,产品资料!C:C,产品资料!F:F)</f>
        <v>0.8*552*1168.5</v>
      </c>
      <c r="J228">
        <f>19*Q228-K228</f>
        <v>377</v>
      </c>
      <c r="K228">
        <v>3</v>
      </c>
      <c r="L228" s="28">
        <f>_xlfn.XLOOKUP(G228,产品资料!C:C,产品资料!O:O)*J228</f>
        <v>1523.9273451999998</v>
      </c>
      <c r="M228" s="31">
        <f>IFERROR(_xlfn.XLOOKUP(G228,产品资料!C:C,产品资料!L:L)*J228,0)</f>
        <v>1288.963</v>
      </c>
      <c r="N228">
        <f>IFERROR(_xlfn.XLOOKUP(G228,产品资料!C:C,产品资料!M:M)*J228,0)</f>
        <v>7163</v>
      </c>
      <c r="O228" s="34" t="s">
        <v>267</v>
      </c>
      <c r="P228" s="23">
        <f>IF(ISNUMBER(SEARCH("合包",R228)),SUMIFS(J:J,G:G,G:G,F:F,F:F)-SUMIFS(打包记录!J:J,打包记录!G:G,G:G,打包记录!F:F,F:F),SUMIFS(J:J,D:D,D:D,G:G,G:G,F:F,F:F)-SUMIFS(打包记录!J:J,打包记录!D:D,D:D,打包记录!G:G,G:G,打包记录!F:F,F:F))</f>
        <v>5</v>
      </c>
      <c r="Q228">
        <v>20</v>
      </c>
    </row>
    <row r="229" spans="1:18" ht="14.25" customHeight="1" x14ac:dyDescent="0.15">
      <c r="A229">
        <v>225</v>
      </c>
      <c r="B229" s="21">
        <v>46262</v>
      </c>
      <c r="C229" t="s">
        <v>189</v>
      </c>
      <c r="D229" s="24" t="s">
        <v>182</v>
      </c>
      <c r="E229" t="s">
        <v>253</v>
      </c>
      <c r="F229">
        <v>39407267</v>
      </c>
      <c r="G229" t="s">
        <v>35</v>
      </c>
      <c r="H229" t="str">
        <f>_xlfn.XLOOKUP(G229,产品资料!C:C,产品资料!E:E)</f>
        <v>4609顶盖（0.8MM)</v>
      </c>
      <c r="I229" s="23" t="str">
        <f>_xlfn.XLOOKUP(G229,产品资料!C:C,产品资料!F:F)</f>
        <v>0.8*552*1168.5</v>
      </c>
      <c r="J229">
        <f>8*Q229-K229</f>
        <v>128</v>
      </c>
      <c r="L229" s="28">
        <f>_xlfn.XLOOKUP(G229,产品资料!C:C,产品资料!O:O)*J229</f>
        <v>517.40769279999995</v>
      </c>
      <c r="M229" s="31">
        <f>IFERROR(_xlfn.XLOOKUP(G229,产品资料!C:C,产品资料!L:L)*J229,0)</f>
        <v>437.63200000000001</v>
      </c>
      <c r="N229">
        <f>IFERROR(_xlfn.XLOOKUP(G229,产品资料!C:C,产品资料!M:M)*J229,0)</f>
        <v>2432</v>
      </c>
      <c r="O229" s="34" t="s">
        <v>268</v>
      </c>
      <c r="P229" s="23">
        <f>IF(ISNUMBER(SEARCH("合包",R229)),SUMIFS(J:J,G:G,G:G,F:F,F:F)-SUMIFS(打包记录!J:J,打包记录!G:G,G:G,打包记录!F:F,F:F),SUMIFS(J:J,D:D,D:D,G:G,G:G,F:F,F:F)-SUMIFS(打包记录!J:J,打包记录!D:D,D:D,打包记录!G:G,G:G,打包记录!F:F,F:F))</f>
        <v>5</v>
      </c>
      <c r="Q229">
        <v>16</v>
      </c>
    </row>
    <row r="230" spans="1:18" ht="14.25" customHeight="1" x14ac:dyDescent="0.15">
      <c r="A230">
        <v>226</v>
      </c>
      <c r="B230" s="21">
        <v>46263</v>
      </c>
      <c r="C230" t="s">
        <v>189</v>
      </c>
      <c r="D230" s="24" t="s">
        <v>182</v>
      </c>
      <c r="E230" t="s">
        <v>253</v>
      </c>
      <c r="F230">
        <v>39407267</v>
      </c>
      <c r="G230" t="s">
        <v>35</v>
      </c>
      <c r="H230" t="str">
        <f>_xlfn.XLOOKUP(G230,产品资料!C:C,产品资料!E:E)</f>
        <v>4609顶盖（0.8MM)</v>
      </c>
      <c r="I230" s="23" t="str">
        <f>_xlfn.XLOOKUP(G230,产品资料!C:C,产品资料!F:F)</f>
        <v>0.8*552*1168.5</v>
      </c>
      <c r="J230">
        <f>14.75*Q230-K230</f>
        <v>236</v>
      </c>
      <c r="L230" s="28">
        <f>_xlfn.XLOOKUP(G230,产品资料!C:C,产品资料!O:O)*J230</f>
        <v>953.97043359999986</v>
      </c>
      <c r="M230" s="31">
        <f>IFERROR(_xlfn.XLOOKUP(G230,产品资料!C:C,产品资料!L:L)*J230,0)</f>
        <v>806.88400000000001</v>
      </c>
      <c r="N230">
        <f>IFERROR(_xlfn.XLOOKUP(G230,产品资料!C:C,产品资料!M:M)*J230,0)</f>
        <v>4484</v>
      </c>
      <c r="O230" s="35" t="s">
        <v>269</v>
      </c>
      <c r="P230" s="23">
        <f>IF(ISNUMBER(SEARCH("合包",R230)),SUMIFS(J:J,G:G,G:G,F:F,F:F)-SUMIFS(打包记录!J:J,打包记录!G:G,G:G,打包记录!F:F,F:F),SUMIFS(J:J,D:D,D:D,G:G,G:G,F:F,F:F)-SUMIFS(打包记录!J:J,打包记录!D:D,D:D,打包记录!G:G,G:G,打包记录!F:F,F:F))</f>
        <v>5</v>
      </c>
      <c r="Q230">
        <v>16</v>
      </c>
    </row>
    <row r="231" spans="1:18" ht="14.25" customHeight="1" x14ac:dyDescent="0.15">
      <c r="A231">
        <v>227</v>
      </c>
      <c r="B231" s="21">
        <v>46265</v>
      </c>
      <c r="C231" t="s">
        <v>189</v>
      </c>
      <c r="D231" s="24" t="s">
        <v>182</v>
      </c>
      <c r="E231" t="s">
        <v>253</v>
      </c>
      <c r="F231">
        <v>39407267</v>
      </c>
      <c r="G231" t="s">
        <v>40</v>
      </c>
      <c r="H231" t="str">
        <f>_xlfn.XLOOKUP(G231,产品资料!C:C,产品资料!E:E)</f>
        <v>4609底盖（0.8MM)</v>
      </c>
      <c r="I231" s="23" t="str">
        <f>_xlfn.XLOOKUP(G231,产品资料!C:C,产品资料!F:F)</f>
        <v>0.8*552.5*1211</v>
      </c>
      <c r="J231">
        <f t="shared" ref="J231:J235" si="20">40*Q231-K231</f>
        <v>156</v>
      </c>
      <c r="K231">
        <v>4</v>
      </c>
      <c r="L231" s="28">
        <f>_xlfn.XLOOKUP(G231,产品资料!C:C,产品资料!O:O)*J231</f>
        <v>648.41100480000011</v>
      </c>
      <c r="M231" s="31">
        <f>IFERROR(_xlfn.XLOOKUP(G231,产品资料!C:C,产品资料!L:L)*J231,0)</f>
        <v>558.63599999999997</v>
      </c>
      <c r="N231">
        <f>IFERROR(_xlfn.XLOOKUP(G231,产品资料!C:C,产品资料!M:M)*J231,0)</f>
        <v>2496</v>
      </c>
      <c r="O231" s="51" t="s">
        <v>270</v>
      </c>
      <c r="P231" s="23">
        <f>IF(ISNUMBER(SEARCH("合包",R231)),SUMIFS(J:J,G:G,G:G,F:F,F:F)-SUMIFS(打包记录!J:J,打包记录!G:G,G:G,打包记录!F:F,F:F),SUMIFS(J:J,D:D,D:D,G:G,G:G,F:F,F:F)-SUMIFS(打包记录!J:J,打包记录!D:D,D:D,打包记录!G:G,G:G,打包记录!F:F,F:F))</f>
        <v>3</v>
      </c>
      <c r="Q231">
        <v>4</v>
      </c>
      <c r="R231" t="s">
        <v>166</v>
      </c>
    </row>
    <row r="232" spans="1:18" ht="14.25" customHeight="1" x14ac:dyDescent="0.15">
      <c r="A232">
        <v>228</v>
      </c>
      <c r="B232" s="21">
        <v>46265</v>
      </c>
      <c r="C232" t="s">
        <v>189</v>
      </c>
      <c r="D232" s="24" t="s">
        <v>182</v>
      </c>
      <c r="E232" t="s">
        <v>253</v>
      </c>
      <c r="F232">
        <v>39407267</v>
      </c>
      <c r="G232" t="s">
        <v>60</v>
      </c>
      <c r="H232" t="str">
        <f>_xlfn.XLOOKUP(G232,产品资料!C:C,产品资料!E:E)</f>
        <v>4609后内垫板大槽(0.8MM)</v>
      </c>
      <c r="I232" s="23" t="str">
        <f>_xlfn.XLOOKUP(G232,产品资料!C:C,产品资料!F:F)</f>
        <v>0.8*145*754.5</v>
      </c>
      <c r="J232">
        <f t="shared" si="20"/>
        <v>79</v>
      </c>
      <c r="K232">
        <v>1</v>
      </c>
      <c r="L232" s="28">
        <f>_xlfn.XLOOKUP(G232,产品资料!C:C,产品资料!O:O)*J232</f>
        <v>54.235838399999999</v>
      </c>
      <c r="M232" s="31">
        <f>IFERROR(_xlfn.XLOOKUP(G232,产品资料!C:C,产品资料!L:L)*J232,0)</f>
        <v>142.12099999999998</v>
      </c>
      <c r="N232">
        <f>IFERROR(_xlfn.XLOOKUP(G232,产品资料!C:C,产品资料!M:M)*J232,0)</f>
        <v>474</v>
      </c>
      <c r="O232" s="51"/>
      <c r="P232" s="23">
        <f>IF(ISNUMBER(SEARCH("合包",R232)),SUMIFS(J:J,G:G,G:G,F:F,F:F)-SUMIFS(打包记录!J:J,打包记录!G:G,G:G,打包记录!F:F,F:F),SUMIFS(J:J,D:D,D:D,G:G,G:G,F:F,F:F)-SUMIFS(打包记录!J:J,打包记录!D:D,D:D,打包记录!G:G,G:G,打包记录!F:F,F:F))</f>
        <v>4</v>
      </c>
      <c r="Q232">
        <v>2</v>
      </c>
    </row>
    <row r="233" spans="1:18" ht="14.25" customHeight="1" x14ac:dyDescent="0.15">
      <c r="A233">
        <v>229</v>
      </c>
      <c r="B233" s="21">
        <v>46265</v>
      </c>
      <c r="C233" t="s">
        <v>189</v>
      </c>
      <c r="D233" s="24" t="s">
        <v>182</v>
      </c>
      <c r="E233" t="s">
        <v>253</v>
      </c>
      <c r="F233">
        <v>39407267</v>
      </c>
      <c r="G233" t="s">
        <v>75</v>
      </c>
      <c r="H233" t="str">
        <f>_xlfn.XLOOKUP(G233,产品资料!C:C,产品资料!E:E)</f>
        <v>4609中隔内垫板大槽(0.8MM)</v>
      </c>
      <c r="I233" s="23" t="str">
        <f>_xlfn.XLOOKUP(G233,产品资料!C:C,产品资料!F:F)</f>
        <v>0.8*137*550</v>
      </c>
      <c r="J233">
        <f t="shared" si="20"/>
        <v>79</v>
      </c>
      <c r="K233">
        <v>1</v>
      </c>
      <c r="L233" s="28">
        <f>_xlfn.XLOOKUP(G233,产品资料!C:C,产品资料!O:O)*J233</f>
        <v>37.347913599999998</v>
      </c>
      <c r="M233" s="31">
        <f>IFERROR(_xlfn.XLOOKUP(G233,产品资料!C:C,产品资料!L:L)*J233,0)</f>
        <v>108.54600000000001</v>
      </c>
      <c r="N233">
        <f>IFERROR(_xlfn.XLOOKUP(G233,产品资料!C:C,产品资料!M:M)*J233,0)</f>
        <v>395</v>
      </c>
      <c r="O233" s="51"/>
      <c r="P233" s="23">
        <f>IF(ISNUMBER(SEARCH("合包",R233)),SUMIFS(J:J,G:G,G:G,F:F,F:F)-SUMIFS(打包记录!J:J,打包记录!G:G,G:G,打包记录!F:F,F:F),SUMIFS(J:J,D:D,D:D,G:G,G:G,F:F,F:F)-SUMIFS(打包记录!J:J,打包记录!D:D,D:D,打包记录!G:G,G:G,打包记录!F:F,F:F))</f>
        <v>2</v>
      </c>
      <c r="Q233">
        <v>2</v>
      </c>
    </row>
    <row r="234" spans="1:18" ht="14.25" customHeight="1" x14ac:dyDescent="0.15">
      <c r="A234">
        <v>230</v>
      </c>
      <c r="B234" s="21">
        <v>46265</v>
      </c>
      <c r="C234" t="s">
        <v>189</v>
      </c>
      <c r="D234" s="24" t="s">
        <v>182</v>
      </c>
      <c r="E234" t="s">
        <v>253</v>
      </c>
      <c r="F234">
        <v>39407267</v>
      </c>
      <c r="G234" t="s">
        <v>100</v>
      </c>
      <c r="H234" t="str">
        <f>_xlfn.XLOOKUP(G234,产品资料!C:C,产品资料!E:E)</f>
        <v>4609小抽斗(0.8MM)</v>
      </c>
      <c r="I234" s="23" t="str">
        <f>_xlfn.XLOOKUP(G234,产品资料!C:C,产品资料!F:F)</f>
        <v>0.8*418*603</v>
      </c>
      <c r="J234">
        <f t="shared" si="20"/>
        <v>318</v>
      </c>
      <c r="K234">
        <v>2</v>
      </c>
      <c r="L234" s="28">
        <f>_xlfn.XLOOKUP(G234,产品资料!C:C,产品资料!O:O)*J234</f>
        <v>500.09875679999993</v>
      </c>
      <c r="M234" s="31">
        <f>IFERROR(_xlfn.XLOOKUP(G234,产品资料!C:C,产品资料!L:L)*J234,0)</f>
        <v>664.30200000000002</v>
      </c>
      <c r="N234">
        <f>IFERROR(_xlfn.XLOOKUP(G234,产品资料!C:C,产品资料!M:M)*J234,0)</f>
        <v>3816</v>
      </c>
      <c r="O234" s="51"/>
      <c r="P234" s="23">
        <f>IF(ISNUMBER(SEARCH("合包",R234)),SUMIFS(J:J,G:G,G:G,F:F,F:F)-SUMIFS(打包记录!J:J,打包记录!G:G,G:G,打包记录!F:F,F:F),SUMIFS(J:J,D:D,D:D,G:G,G:G,F:F,F:F)-SUMIFS(打包记录!J:J,打包记录!D:D,D:D,打包记录!G:G,G:G,打包记录!F:F,F:F))</f>
        <v>3</v>
      </c>
      <c r="Q234">
        <v>8</v>
      </c>
    </row>
    <row r="235" spans="1:18" ht="14.25" customHeight="1" x14ac:dyDescent="0.15">
      <c r="A235">
        <v>231</v>
      </c>
      <c r="B235" s="21">
        <v>46265</v>
      </c>
      <c r="C235" t="s">
        <v>189</v>
      </c>
      <c r="D235" s="24" t="s">
        <v>182</v>
      </c>
      <c r="E235" t="s">
        <v>253</v>
      </c>
      <c r="F235">
        <v>39407267</v>
      </c>
      <c r="G235" t="s">
        <v>105</v>
      </c>
      <c r="H235" t="str">
        <f>_xlfn.XLOOKUP(G235,产品资料!C:C,产品资料!E:E)</f>
        <v>4609小拉手(0.8MM）</v>
      </c>
      <c r="I235" s="23" t="str">
        <f>_xlfn.XLOOKUP(G235,产品资料!C:C,产品资料!F:F)</f>
        <v>0.8*142*515</v>
      </c>
      <c r="J235">
        <f t="shared" si="20"/>
        <v>78</v>
      </c>
      <c r="K235">
        <v>2</v>
      </c>
      <c r="L235" s="28">
        <f>_xlfn.XLOOKUP(G235,产品资料!C:C,产品资料!O:O)*J235</f>
        <v>35.655453599999994</v>
      </c>
      <c r="M235" s="31">
        <f>IFERROR(_xlfn.XLOOKUP(G235,产品资料!C:C,产品资料!L:L)*J235,0)</f>
        <v>102.024</v>
      </c>
      <c r="N235">
        <f>IFERROR(_xlfn.XLOOKUP(G235,产品资料!C:C,产品资料!M:M)*J235,0)</f>
        <v>0</v>
      </c>
      <c r="O235" s="51"/>
      <c r="P235" s="23">
        <f>IF(ISNUMBER(SEARCH("合包",R235)),SUMIFS(J:J,G:G,G:G,F:F,F:F)-SUMIFS(打包记录!J:J,打包记录!G:G,G:G,打包记录!F:F,F:F),SUMIFS(J:J,D:D,D:D,G:G,G:G,F:F,F:F)-SUMIFS(打包记录!J:J,打包记录!D:D,D:D,打包记录!G:G,G:G,打包记录!F:F,F:F))</f>
        <v>4</v>
      </c>
      <c r="Q235">
        <v>2</v>
      </c>
    </row>
    <row r="236" spans="1:18" ht="14.25" customHeight="1" x14ac:dyDescent="0.15">
      <c r="A236">
        <v>232</v>
      </c>
      <c r="B236" s="21">
        <v>46265</v>
      </c>
      <c r="C236" t="s">
        <v>189</v>
      </c>
      <c r="D236" s="24" t="s">
        <v>182</v>
      </c>
      <c r="E236" t="s">
        <v>253</v>
      </c>
      <c r="F236">
        <v>39407267</v>
      </c>
      <c r="G236" t="s">
        <v>105</v>
      </c>
      <c r="H236" t="str">
        <f>_xlfn.XLOOKUP(G236,产品资料!C:C,产品资料!E:E)</f>
        <v>4609小拉手(0.8MM）</v>
      </c>
      <c r="I236" s="23" t="str">
        <f>_xlfn.XLOOKUP(G236,产品资料!C:C,产品资料!F:F)</f>
        <v>0.8*142*515</v>
      </c>
      <c r="J236">
        <f>22*Q236-K236</f>
        <v>440</v>
      </c>
      <c r="L236" s="28">
        <f>_xlfn.XLOOKUP(G236,产品资料!C:C,产品资料!O:O)*J236</f>
        <v>201.13332799999998</v>
      </c>
      <c r="M236" s="31">
        <f>IFERROR(_xlfn.XLOOKUP(G236,产品资料!C:C,产品资料!L:L)*J236,0)</f>
        <v>575.52</v>
      </c>
      <c r="N236">
        <f>IFERROR(_xlfn.XLOOKUP(G236,产品资料!C:C,产品资料!M:M)*J236,0)</f>
        <v>0</v>
      </c>
      <c r="O236" s="34" t="s">
        <v>271</v>
      </c>
      <c r="P236" s="23">
        <f>IF(ISNUMBER(SEARCH("合包",R236)),SUMIFS(J:J,G:G,G:G,F:F,F:F)-SUMIFS(打包记录!J:J,打包记录!G:G,G:G,打包记录!F:F,F:F),SUMIFS(J:J,D:D,D:D,G:G,G:G,F:F,F:F)-SUMIFS(打包记录!J:J,打包记录!D:D,D:D,打包记录!G:G,G:G,打包记录!F:F,F:F))</f>
        <v>4</v>
      </c>
      <c r="Q236">
        <v>20</v>
      </c>
    </row>
    <row r="237" spans="1:18" ht="14.25" customHeight="1" x14ac:dyDescent="0.15">
      <c r="A237">
        <v>233</v>
      </c>
      <c r="B237" s="21">
        <v>46265</v>
      </c>
      <c r="C237" t="s">
        <v>189</v>
      </c>
      <c r="D237" s="24" t="s">
        <v>182</v>
      </c>
      <c r="E237" t="s">
        <v>253</v>
      </c>
      <c r="F237">
        <v>39407267</v>
      </c>
      <c r="G237" t="s">
        <v>105</v>
      </c>
      <c r="H237" t="str">
        <f>_xlfn.XLOOKUP(G237,产品资料!C:C,产品资料!E:E)</f>
        <v>4609小拉手(0.8MM）</v>
      </c>
      <c r="I237" s="23" t="str">
        <f>_xlfn.XLOOKUP(G237,产品资料!C:C,产品资料!F:F)</f>
        <v>0.8*142*515</v>
      </c>
      <c r="J237">
        <f>4.75*Q237-K237</f>
        <v>190</v>
      </c>
      <c r="L237" s="28">
        <f>_xlfn.XLOOKUP(G237,产品资料!C:C,产品资料!O:O)*J237</f>
        <v>86.853027999999995</v>
      </c>
      <c r="M237" s="31">
        <f>IFERROR(_xlfn.XLOOKUP(G237,产品资料!C:C,产品资料!L:L)*J237,0)</f>
        <v>248.52</v>
      </c>
      <c r="N237">
        <f>IFERROR(_xlfn.XLOOKUP(G237,产品资料!C:C,产品资料!M:M)*J237,0)</f>
        <v>0</v>
      </c>
      <c r="O237" s="35" t="s">
        <v>272</v>
      </c>
      <c r="P237" s="23">
        <f>IF(ISNUMBER(SEARCH("合包",R237)),SUMIFS(J:J,G:G,G:G,F:F,F:F)-SUMIFS(打包记录!J:J,打包记录!G:G,G:G,打包记录!F:F,F:F),SUMIFS(J:J,D:D,D:D,G:G,G:G,F:F,F:F)-SUMIFS(打包记录!J:J,打包记录!D:D,D:D,打包记录!G:G,G:G,打包记录!F:F,F:F))</f>
        <v>4</v>
      </c>
      <c r="Q237">
        <v>40</v>
      </c>
    </row>
    <row r="238" spans="1:18" ht="14.25" customHeight="1" x14ac:dyDescent="0.15">
      <c r="A238">
        <v>234</v>
      </c>
      <c r="B238" s="21">
        <v>46266</v>
      </c>
      <c r="C238" t="s">
        <v>189</v>
      </c>
      <c r="D238" s="24" t="s">
        <v>182</v>
      </c>
      <c r="E238" t="s">
        <v>253</v>
      </c>
      <c r="F238">
        <v>39407267</v>
      </c>
      <c r="G238" t="s">
        <v>65</v>
      </c>
      <c r="H238" t="str">
        <f>_xlfn.XLOOKUP(G238,产品资料!C:C,产品资料!E:E)</f>
        <v>4609中隔板(0.8MM)</v>
      </c>
      <c r="I238" s="23" t="str">
        <f>_xlfn.XLOOKUP(G238,产品资料!C:C,产品资料!F:F)</f>
        <v>0.8*481.5*550</v>
      </c>
      <c r="J238">
        <f>1.25*Q238-K238</f>
        <v>25</v>
      </c>
      <c r="L238" s="28">
        <f>_xlfn.XLOOKUP(G238,产品资料!C:C,产品资料!O:O)*J238</f>
        <v>41.50609</v>
      </c>
      <c r="M238" s="31">
        <f>IFERROR(_xlfn.XLOOKUP(G238,产品资料!C:C,产品资料!L:L)*J238,0)</f>
        <v>51.575000000000003</v>
      </c>
      <c r="N238">
        <f>IFERROR(_xlfn.XLOOKUP(G238,产品资料!C:C,产品资料!M:M)*J238,0)</f>
        <v>375</v>
      </c>
      <c r="O238" s="50" t="s">
        <v>273</v>
      </c>
      <c r="P238" s="23">
        <f>IF(ISNUMBER(SEARCH("合包",R238)),SUMIFS(J:J,G:G,G:G,F:F,F:F)-SUMIFS(打包记录!J:J,打包记录!G:G,G:G,打包记录!F:F,F:F),SUMIFS(J:J,D:D,D:D,G:G,G:G,F:F,F:F)-SUMIFS(打包记录!J:J,打包记录!D:D,D:D,打包记录!G:G,G:G,打包记录!F:F,F:F))</f>
        <v>2</v>
      </c>
      <c r="Q238">
        <v>20</v>
      </c>
      <c r="R238" t="s">
        <v>166</v>
      </c>
    </row>
    <row r="239" spans="1:18" ht="14.25" customHeight="1" x14ac:dyDescent="0.15">
      <c r="A239">
        <v>235</v>
      </c>
      <c r="B239" s="21">
        <v>46266</v>
      </c>
      <c r="C239" t="s">
        <v>189</v>
      </c>
      <c r="D239" s="24" t="s">
        <v>182</v>
      </c>
      <c r="E239" t="s">
        <v>253</v>
      </c>
      <c r="F239">
        <v>39407267</v>
      </c>
      <c r="G239" t="s">
        <v>100</v>
      </c>
      <c r="H239" t="str">
        <f>_xlfn.XLOOKUP(G239,产品资料!C:C,产品资料!E:E)</f>
        <v>4609小抽斗(0.8MM)</v>
      </c>
      <c r="I239" s="23" t="str">
        <f>_xlfn.XLOOKUP(G239,产品资料!C:C,产品资料!F:F)</f>
        <v>0.8*418*603</v>
      </c>
      <c r="J239">
        <f t="shared" ref="J239:J240" si="21">1.25*Q239-K239</f>
        <v>25</v>
      </c>
      <c r="L239" s="28">
        <f>_xlfn.XLOOKUP(G239,产品资料!C:C,产品资料!O:O)*J239</f>
        <v>39.315939999999991</v>
      </c>
      <c r="M239" s="31">
        <f>IFERROR(_xlfn.XLOOKUP(G239,产品资料!C:C,产品资料!L:L)*J239,0)</f>
        <v>52.225000000000001</v>
      </c>
      <c r="N239">
        <f>IFERROR(_xlfn.XLOOKUP(G239,产品资料!C:C,产品资料!M:M)*J239,0)</f>
        <v>300</v>
      </c>
      <c r="O239" s="51"/>
      <c r="P239" s="23">
        <f>IF(ISNUMBER(SEARCH("合包",R239)),SUMIFS(J:J,G:G,G:G,F:F,F:F)-SUMIFS(打包记录!J:J,打包记录!G:G,G:G,打包记录!F:F,F:F),SUMIFS(J:J,D:D,D:D,G:G,G:G,F:F,F:F)-SUMIFS(打包记录!J:J,打包记录!D:D,D:D,打包记录!G:G,G:G,打包记录!F:F,F:F))</f>
        <v>3</v>
      </c>
      <c r="Q239">
        <v>20</v>
      </c>
    </row>
    <row r="240" spans="1:18" ht="14.25" customHeight="1" x14ac:dyDescent="0.15">
      <c r="A240">
        <v>236</v>
      </c>
      <c r="B240" s="21">
        <v>46266</v>
      </c>
      <c r="C240" t="s">
        <v>189</v>
      </c>
      <c r="D240" s="24" t="s">
        <v>182</v>
      </c>
      <c r="E240" t="s">
        <v>253</v>
      </c>
      <c r="F240">
        <v>39407267</v>
      </c>
      <c r="G240" t="s">
        <v>115</v>
      </c>
      <c r="H240" t="str">
        <f>_xlfn.XLOOKUP(G240,产品资料!C:C,产品资料!E:E)</f>
        <v>4609中拉手(0.8MM）</v>
      </c>
      <c r="I240" s="23" t="str">
        <f>_xlfn.XLOOKUP(G240,产品资料!C:C,产品资料!F:F)</f>
        <v>0.8*155*515</v>
      </c>
      <c r="J240">
        <f t="shared" si="21"/>
        <v>20</v>
      </c>
      <c r="L240" s="28">
        <f>_xlfn.XLOOKUP(G240,产品资料!C:C,产品资料!O:O)*J240</f>
        <v>9.9826879999999996</v>
      </c>
      <c r="M240" s="31">
        <f>IFERROR(_xlfn.XLOOKUP(G240,产品资料!C:C,产品资料!L:L)*J240,0)</f>
        <v>26.68</v>
      </c>
      <c r="N240">
        <f>IFERROR(_xlfn.XLOOKUP(G240,产品资料!C:C,产品资料!M:M)*J240,0)</f>
        <v>0</v>
      </c>
      <c r="O240" s="51"/>
      <c r="P240" s="23">
        <f>IF(ISNUMBER(SEARCH("合包",R240)),SUMIFS(J:J,G:G,G:G,F:F,F:F)-SUMIFS(打包记录!J:J,打包记录!G:G,G:G,打包记录!F:F,F:F),SUMIFS(J:J,D:D,D:D,G:G,G:G,F:F,F:F)-SUMIFS(打包记录!J:J,打包记录!D:D,D:D,打包记录!G:G,G:G,打包记录!F:F,F:F))</f>
        <v>10</v>
      </c>
      <c r="Q240">
        <v>16</v>
      </c>
    </row>
    <row r="241" spans="1:18" ht="14.25" customHeight="1" x14ac:dyDescent="0.15">
      <c r="A241">
        <v>237</v>
      </c>
      <c r="B241" s="21">
        <v>46266</v>
      </c>
      <c r="C241" t="s">
        <v>189</v>
      </c>
      <c r="D241" s="24" t="s">
        <v>182</v>
      </c>
      <c r="E241" t="s">
        <v>253</v>
      </c>
      <c r="F241">
        <v>39407267</v>
      </c>
      <c r="G241" t="s">
        <v>65</v>
      </c>
      <c r="H241" t="str">
        <f>_xlfn.XLOOKUP(G241,产品资料!C:C,产品资料!E:E)</f>
        <v>4609中隔板(0.8MM)</v>
      </c>
      <c r="I241" s="23" t="str">
        <f>_xlfn.XLOOKUP(G241,产品资料!C:C,产品资料!F:F)</f>
        <v>0.8*481.5*550</v>
      </c>
      <c r="J241">
        <f>23*Q241-K241</f>
        <v>86</v>
      </c>
      <c r="K241">
        <v>6</v>
      </c>
      <c r="L241" s="28">
        <f>_xlfn.XLOOKUP(G241,产品资料!C:C,产品资料!O:O)*J241</f>
        <v>142.78094960000001</v>
      </c>
      <c r="M241" s="31">
        <f>IFERROR(_xlfn.XLOOKUP(G241,产品资料!C:C,产品资料!L:L)*J241,0)</f>
        <v>177.41800000000001</v>
      </c>
      <c r="N241">
        <f>IFERROR(_xlfn.XLOOKUP(G241,产品资料!C:C,产品资料!M:M)*J241,0)</f>
        <v>1290</v>
      </c>
      <c r="O241" s="51" t="s">
        <v>274</v>
      </c>
      <c r="P241" s="23">
        <f>IF(ISNUMBER(SEARCH("合包",R241)),SUMIFS(J:J,G:G,G:G,F:F,F:F)-SUMIFS(打包记录!J:J,打包记录!G:G,G:G,打包记录!F:F,F:F),SUMIFS(J:J,D:D,D:D,G:G,G:G,F:F,F:F)-SUMIFS(打包记录!J:J,打包记录!D:D,D:D,打包记录!G:G,G:G,打包记录!F:F,F:F))</f>
        <v>2</v>
      </c>
      <c r="Q241">
        <v>4</v>
      </c>
      <c r="R241" t="s">
        <v>166</v>
      </c>
    </row>
    <row r="242" spans="1:18" ht="14.25" customHeight="1" x14ac:dyDescent="0.15">
      <c r="A242">
        <v>238</v>
      </c>
      <c r="B242" s="21">
        <v>46266</v>
      </c>
      <c r="C242" t="s">
        <v>189</v>
      </c>
      <c r="D242" s="24" t="s">
        <v>182</v>
      </c>
      <c r="E242" t="s">
        <v>253</v>
      </c>
      <c r="F242">
        <v>39407267</v>
      </c>
      <c r="G242" t="s">
        <v>100</v>
      </c>
      <c r="H242" t="str">
        <f>_xlfn.XLOOKUP(G242,产品资料!C:C,产品资料!E:E)</f>
        <v>4609小抽斗(0.8MM)</v>
      </c>
      <c r="I242" s="23" t="str">
        <f>_xlfn.XLOOKUP(G242,产品资料!C:C,产品资料!F:F)</f>
        <v>0.8*418*603</v>
      </c>
      <c r="J242">
        <f>23*Q242-K242</f>
        <v>85</v>
      </c>
      <c r="K242">
        <v>7</v>
      </c>
      <c r="L242" s="28">
        <f>_xlfn.XLOOKUP(G242,产品资料!C:C,产品资料!O:O)*J242</f>
        <v>133.67419599999997</v>
      </c>
      <c r="M242" s="31">
        <f>IFERROR(_xlfn.XLOOKUP(G242,产品资料!C:C,产品资料!L:L)*J242,0)</f>
        <v>177.565</v>
      </c>
      <c r="N242">
        <f>IFERROR(_xlfn.XLOOKUP(G242,产品资料!C:C,产品资料!M:M)*J242,0)</f>
        <v>1020</v>
      </c>
      <c r="O242" s="51"/>
      <c r="P242" s="23">
        <f>IF(ISNUMBER(SEARCH("合包",R242)),SUMIFS(J:J,G:G,G:G,F:F,F:F)-SUMIFS(打包记录!J:J,打包记录!G:G,G:G,打包记录!F:F,F:F),SUMIFS(J:J,D:D,D:D,G:G,G:G,F:F,F:F)-SUMIFS(打包记录!J:J,打包记录!D:D,D:D,打包记录!G:G,G:G,打包记录!F:F,F:F))</f>
        <v>3</v>
      </c>
      <c r="Q242">
        <v>4</v>
      </c>
    </row>
    <row r="243" spans="1:18" ht="14.25" customHeight="1" x14ac:dyDescent="0.15">
      <c r="A243">
        <v>239</v>
      </c>
      <c r="B243" s="21">
        <v>46266</v>
      </c>
      <c r="C243" t="s">
        <v>189</v>
      </c>
      <c r="D243" s="24" t="s">
        <v>182</v>
      </c>
      <c r="E243" t="s">
        <v>253</v>
      </c>
      <c r="F243">
        <v>39407267</v>
      </c>
      <c r="G243" t="s">
        <v>115</v>
      </c>
      <c r="H243" t="str">
        <f>_xlfn.XLOOKUP(G243,产品资料!C:C,产品资料!E:E)</f>
        <v>4609中拉手(0.8MM）</v>
      </c>
      <c r="I243" s="23" t="str">
        <f>_xlfn.XLOOKUP(G243,产品资料!C:C,产品资料!F:F)</f>
        <v>0.8*155*515</v>
      </c>
      <c r="J243">
        <f>23*Q243-K243</f>
        <v>91</v>
      </c>
      <c r="K243">
        <v>1</v>
      </c>
      <c r="L243" s="28">
        <f>_xlfn.XLOOKUP(G243,产品资料!C:C,产品资料!O:O)*J243</f>
        <v>45.421230399999999</v>
      </c>
      <c r="M243" s="31">
        <f>IFERROR(_xlfn.XLOOKUP(G243,产品资料!C:C,产品资料!L:L)*J243,0)</f>
        <v>121.39400000000001</v>
      </c>
      <c r="N243">
        <f>IFERROR(_xlfn.XLOOKUP(G243,产品资料!C:C,产品资料!M:M)*J243,0)</f>
        <v>0</v>
      </c>
      <c r="O243" s="51"/>
      <c r="P243" s="23">
        <f>IF(ISNUMBER(SEARCH("合包",R243)),SUMIFS(J:J,G:G,G:G,F:F,F:F)-SUMIFS(打包记录!J:J,打包记录!G:G,G:G,打包记录!F:F,F:F),SUMIFS(J:J,D:D,D:D,G:G,G:G,F:F,F:F)-SUMIFS(打包记录!J:J,打包记录!D:D,D:D,打包记录!G:G,G:G,打包记录!F:F,F:F))</f>
        <v>10</v>
      </c>
      <c r="Q243">
        <v>4</v>
      </c>
    </row>
    <row r="244" spans="1:18" ht="14.25" customHeight="1" x14ac:dyDescent="0.15">
      <c r="A244">
        <v>240</v>
      </c>
      <c r="B244" s="21">
        <v>46266</v>
      </c>
      <c r="C244" t="s">
        <v>189</v>
      </c>
      <c r="D244" s="24" t="s">
        <v>182</v>
      </c>
      <c r="E244" t="s">
        <v>253</v>
      </c>
      <c r="F244">
        <v>39407267</v>
      </c>
      <c r="G244" t="s">
        <v>40</v>
      </c>
      <c r="H244" t="str">
        <f>_xlfn.XLOOKUP(G244,产品资料!C:C,产品资料!E:E)</f>
        <v>4609底盖（0.8MM)</v>
      </c>
      <c r="I244" s="23" t="str">
        <f>_xlfn.XLOOKUP(G244,产品资料!C:C,产品资料!F:F)</f>
        <v>0.8*552.5*1211</v>
      </c>
      <c r="J244">
        <f>5*Q244-K244</f>
        <v>37</v>
      </c>
      <c r="K244">
        <v>3</v>
      </c>
      <c r="L244" s="28">
        <f>_xlfn.XLOOKUP(G244,产品资料!C:C,产品资料!O:O)*J244</f>
        <v>153.78978960000003</v>
      </c>
      <c r="M244" s="31">
        <f>IFERROR(_xlfn.XLOOKUP(G244,产品资料!C:C,产品资料!L:L)*J244,0)</f>
        <v>132.49699999999999</v>
      </c>
      <c r="N244">
        <f>IFERROR(_xlfn.XLOOKUP(G244,产品资料!C:C,产品资料!M:M)*J244,0)</f>
        <v>592</v>
      </c>
      <c r="O244" s="51" t="s">
        <v>275</v>
      </c>
      <c r="P244" s="23">
        <f>IF(ISNUMBER(SEARCH("合包",R244)),SUMIFS(J:J,G:G,G:G,F:F,F:F)-SUMIFS(打包记录!J:J,打包记录!G:G,G:G,打包记录!F:F,F:F),SUMIFS(J:J,D:D,D:D,G:G,G:G,F:F,F:F)-SUMIFS(打包记录!J:J,打包记录!D:D,D:D,打包记录!G:G,G:G,打包记录!F:F,F:F))</f>
        <v>3</v>
      </c>
      <c r="Q244">
        <v>8</v>
      </c>
      <c r="R244" t="s">
        <v>166</v>
      </c>
    </row>
    <row r="245" spans="1:18" ht="14.25" customHeight="1" x14ac:dyDescent="0.15">
      <c r="A245">
        <v>241</v>
      </c>
      <c r="B245" s="21">
        <v>46266</v>
      </c>
      <c r="C245" t="s">
        <v>189</v>
      </c>
      <c r="D245" s="24" t="s">
        <v>182</v>
      </c>
      <c r="E245" t="s">
        <v>253</v>
      </c>
      <c r="F245">
        <v>39407267</v>
      </c>
      <c r="G245" t="s">
        <v>70</v>
      </c>
      <c r="H245" t="str">
        <f>_xlfn.XLOOKUP(G245,产品资料!C:C,产品资料!E:E)</f>
        <v>4609中隔内垫板(0.8MM)</v>
      </c>
      <c r="I245" s="23" t="str">
        <f>_xlfn.XLOOKUP(G245,产品资料!C:C,产品资料!F:F)</f>
        <v>0.8*112*550</v>
      </c>
      <c r="J245">
        <f t="shared" ref="J245" si="22">5*Q245-K245</f>
        <v>60</v>
      </c>
      <c r="L245" s="28">
        <f>_xlfn.XLOOKUP(G245,产品资料!C:C,产品资料!O:O)*J245</f>
        <v>23.150592</v>
      </c>
      <c r="M245" s="31">
        <f>IFERROR(_xlfn.XLOOKUP(G245,产品资料!C:C,产品资料!L:L)*J245,0)</f>
        <v>79.5</v>
      </c>
      <c r="N245">
        <f>IFERROR(_xlfn.XLOOKUP(G245,产品资料!C:C,产品资料!M:M)*J245,0)</f>
        <v>300</v>
      </c>
      <c r="O245" s="51"/>
      <c r="P245" s="23">
        <f>IF(ISNUMBER(SEARCH("合包",R245)),SUMIFS(J:J,G:G,G:G,F:F,F:F)-SUMIFS(打包记录!J:J,打包记录!G:G,G:G,打包记录!F:F,F:F),SUMIFS(J:J,D:D,D:D,G:G,G:G,F:F,F:F)-SUMIFS(打包记录!J:J,打包记录!D:D,D:D,打包记录!G:G,G:G,打包记录!F:F,F:F))</f>
        <v>2</v>
      </c>
      <c r="Q245">
        <v>12</v>
      </c>
    </row>
    <row r="246" spans="1:18" ht="14.25" customHeight="1" x14ac:dyDescent="0.15">
      <c r="A246">
        <v>242</v>
      </c>
      <c r="B246" s="21">
        <v>46266</v>
      </c>
      <c r="C246" t="s">
        <v>189</v>
      </c>
      <c r="D246" s="24" t="s">
        <v>182</v>
      </c>
      <c r="E246" t="s">
        <v>253</v>
      </c>
      <c r="F246">
        <v>39407267</v>
      </c>
      <c r="G246" t="s">
        <v>60</v>
      </c>
      <c r="H246" t="str">
        <f>_xlfn.XLOOKUP(G246,产品资料!C:C,产品资料!E:E)</f>
        <v>4609后内垫板大槽(0.8MM)</v>
      </c>
      <c r="I246" s="23" t="str">
        <f>_xlfn.XLOOKUP(G246,产品资料!C:C,产品资料!F:F)</f>
        <v>0.8*145*754.5</v>
      </c>
      <c r="J246">
        <f>7.75*Q246-K246</f>
        <v>186</v>
      </c>
      <c r="L246" s="28">
        <f>_xlfn.XLOOKUP(G246,产品资料!C:C,产品资料!O:O)*J246</f>
        <v>127.6945056</v>
      </c>
      <c r="M246" s="31">
        <f>IFERROR(_xlfn.XLOOKUP(G246,产品资料!C:C,产品资料!L:L)*J246,0)</f>
        <v>334.61399999999998</v>
      </c>
      <c r="N246">
        <f>IFERROR(_xlfn.XLOOKUP(G246,产品资料!C:C,产品资料!M:M)*J246,0)</f>
        <v>1116</v>
      </c>
      <c r="O246" s="50" t="s">
        <v>276</v>
      </c>
      <c r="P246" s="23">
        <f>IF(ISNUMBER(SEARCH("合包",R246)),SUMIFS(J:J,G:G,G:G,F:F,F:F)-SUMIFS(打包记录!J:J,打包记录!G:G,G:G,打包记录!F:F,F:F),SUMIFS(J:J,D:D,D:D,G:G,G:G,F:F,F:F)-SUMIFS(打包记录!J:J,打包记录!D:D,D:D,打包记录!G:G,G:G,打包记录!F:F,F:F))</f>
        <v>4</v>
      </c>
      <c r="Q246">
        <v>24</v>
      </c>
    </row>
    <row r="247" spans="1:18" ht="14.25" customHeight="1" x14ac:dyDescent="0.15">
      <c r="A247">
        <v>243</v>
      </c>
      <c r="B247" s="21">
        <v>46266</v>
      </c>
      <c r="C247" t="s">
        <v>189</v>
      </c>
      <c r="D247" s="24" t="s">
        <v>182</v>
      </c>
      <c r="E247" t="s">
        <v>253</v>
      </c>
      <c r="F247">
        <v>39407267</v>
      </c>
      <c r="G247" t="s">
        <v>75</v>
      </c>
      <c r="H247" t="str">
        <f>_xlfn.XLOOKUP(G247,产品资料!C:C,产品资料!E:E)</f>
        <v>4609中隔内垫板大槽(0.8MM)</v>
      </c>
      <c r="I247" s="23" t="str">
        <f>_xlfn.XLOOKUP(G247,产品资料!C:C,产品资料!F:F)</f>
        <v>0.8*137*550</v>
      </c>
      <c r="J247">
        <f t="shared" ref="J247:J248" si="23">7.75*Q247-K247</f>
        <v>124</v>
      </c>
      <c r="L247" s="28">
        <f>_xlfn.XLOOKUP(G247,产品资料!C:C,产品资料!O:O)*J247</f>
        <v>58.622041599999996</v>
      </c>
      <c r="M247" s="31">
        <f>IFERROR(_xlfn.XLOOKUP(G247,产品资料!C:C,产品资料!L:L)*J247,0)</f>
        <v>170.376</v>
      </c>
      <c r="N247">
        <f>IFERROR(_xlfn.XLOOKUP(G247,产品资料!C:C,产品资料!M:M)*J247,0)</f>
        <v>620</v>
      </c>
      <c r="O247" s="51"/>
      <c r="P247" s="23">
        <f>IF(ISNUMBER(SEARCH("合包",R247)),SUMIFS(J:J,G:G,G:G,F:F,F:F)-SUMIFS(打包记录!J:J,打包记录!G:G,G:G,打包记录!F:F,F:F),SUMIFS(J:J,D:D,D:D,G:G,G:G,F:F,F:F)-SUMIFS(打包记录!J:J,打包记录!D:D,D:D,打包记录!G:G,G:G,打包记录!F:F,F:F))</f>
        <v>2</v>
      </c>
      <c r="Q247">
        <v>16</v>
      </c>
    </row>
    <row r="248" spans="1:18" ht="14.25" customHeight="1" x14ac:dyDescent="0.15">
      <c r="A248">
        <v>244</v>
      </c>
      <c r="B248" s="21">
        <v>46266</v>
      </c>
      <c r="C248" t="s">
        <v>189</v>
      </c>
      <c r="D248" s="24" t="s">
        <v>182</v>
      </c>
      <c r="E248" t="s">
        <v>253</v>
      </c>
      <c r="F248">
        <v>39407267</v>
      </c>
      <c r="G248" t="s">
        <v>100</v>
      </c>
      <c r="H248" t="str">
        <f>_xlfn.XLOOKUP(G248,产品资料!C:C,产品资料!E:E)</f>
        <v>4609小抽斗(0.8MM)</v>
      </c>
      <c r="I248" s="23" t="str">
        <f>_xlfn.XLOOKUP(G248,产品资料!C:C,产品资料!F:F)</f>
        <v>0.8*418*603</v>
      </c>
      <c r="J248">
        <f t="shared" si="23"/>
        <v>31</v>
      </c>
      <c r="L248" s="28">
        <f>_xlfn.XLOOKUP(G248,产品资料!C:C,产品资料!O:O)*J248</f>
        <v>48.751765599999992</v>
      </c>
      <c r="M248" s="31">
        <f>IFERROR(_xlfn.XLOOKUP(G248,产品资料!C:C,产品资料!L:L)*J248,0)</f>
        <v>64.759</v>
      </c>
      <c r="N248">
        <f>IFERROR(_xlfn.XLOOKUP(G248,产品资料!C:C,产品资料!M:M)*J248,0)</f>
        <v>372</v>
      </c>
      <c r="O248" s="51"/>
      <c r="P248" s="23">
        <f>IF(ISNUMBER(SEARCH("合包",R248)),SUMIFS(J:J,G:G,G:G,F:F,F:F)-SUMIFS(打包记录!J:J,打包记录!G:G,G:G,打包记录!F:F,F:F),SUMIFS(J:J,D:D,D:D,G:G,G:G,F:F,F:F)-SUMIFS(打包记录!J:J,打包记录!D:D,D:D,打包记录!G:G,G:G,打包记录!F:F,F:F))</f>
        <v>3</v>
      </c>
      <c r="Q248">
        <v>4</v>
      </c>
    </row>
    <row r="249" spans="1:18" ht="14.25" customHeight="1" x14ac:dyDescent="0.15">
      <c r="A249">
        <v>245</v>
      </c>
      <c r="B249" s="21">
        <v>46266</v>
      </c>
      <c r="C249" t="s">
        <v>189</v>
      </c>
      <c r="D249" s="24" t="s">
        <v>182</v>
      </c>
      <c r="E249" t="s">
        <v>277</v>
      </c>
      <c r="F249">
        <v>39407267</v>
      </c>
      <c r="G249" t="s">
        <v>60</v>
      </c>
      <c r="H249" t="str">
        <f>_xlfn.XLOOKUP(G249,产品资料!C:C,产品资料!E:E)</f>
        <v>4609后内垫板大槽(0.8MM)</v>
      </c>
      <c r="I249" s="23" t="str">
        <f>_xlfn.XLOOKUP(G249,产品资料!C:C,产品资料!F:F)</f>
        <v>0.8*145*754.5</v>
      </c>
      <c r="J249">
        <f t="shared" ref="J249" si="24">27.5*Q249-K249</f>
        <v>330</v>
      </c>
      <c r="L249" s="28">
        <f>_xlfn.XLOOKUP(G249,产品资料!C:C,产品资料!O:O)*J249</f>
        <v>226.554768</v>
      </c>
      <c r="M249" s="31">
        <f>IFERROR(_xlfn.XLOOKUP(G249,产品资料!C:C,产品资料!L:L)*J249,0)</f>
        <v>593.66999999999996</v>
      </c>
      <c r="N249">
        <f>IFERROR(_xlfn.XLOOKUP(G249,产品资料!C:C,产品资料!M:M)*J249,0)</f>
        <v>1980</v>
      </c>
      <c r="O249" s="35" t="s">
        <v>278</v>
      </c>
      <c r="P249" s="23">
        <f>IF(ISNUMBER(SEARCH("合包",R249)),SUMIFS(J:J,G:G,G:G,F:F,F:F)-SUMIFS(打包记录!J:J,打包记录!G:G,G:G,打包记录!F:F,F:F),SUMIFS(J:J,D:D,D:D,G:G,G:G,F:F,F:F)-SUMIFS(打包记录!J:J,打包记录!D:D,D:D,打包记录!G:G,G:G,打包记录!F:F,F:F))</f>
        <v>4</v>
      </c>
      <c r="Q249">
        <v>12</v>
      </c>
    </row>
    <row r="250" spans="1:18" ht="14.25" customHeight="1" x14ac:dyDescent="0.15">
      <c r="A250">
        <v>246</v>
      </c>
      <c r="B250" s="21">
        <v>46266</v>
      </c>
      <c r="C250" t="s">
        <v>189</v>
      </c>
      <c r="D250" s="24" t="s">
        <v>182</v>
      </c>
      <c r="E250" t="s">
        <v>277</v>
      </c>
      <c r="F250">
        <v>39407267</v>
      </c>
      <c r="G250" t="s">
        <v>60</v>
      </c>
      <c r="H250" t="str">
        <f>_xlfn.XLOOKUP(G250,产品资料!C:C,产品资料!E:E)</f>
        <v>4609后内垫板大槽(0.8MM)</v>
      </c>
      <c r="I250" s="23" t="str">
        <f>_xlfn.XLOOKUP(G250,产品资料!C:C,产品资料!F:F)</f>
        <v>0.8*145*754.5</v>
      </c>
      <c r="J250">
        <f>5*Q250-K250</f>
        <v>60</v>
      </c>
      <c r="L250" s="28">
        <f>_xlfn.XLOOKUP(G250,产品资料!C:C,产品资料!O:O)*J250</f>
        <v>41.191775999999997</v>
      </c>
      <c r="M250" s="31">
        <f>IFERROR(_xlfn.XLOOKUP(G250,产品资料!C:C,产品资料!L:L)*J250,0)</f>
        <v>107.94</v>
      </c>
      <c r="N250">
        <f>IFERROR(_xlfn.XLOOKUP(G250,产品资料!C:C,产品资料!M:M)*J250,0)</f>
        <v>360</v>
      </c>
      <c r="O250" s="35" t="s">
        <v>279</v>
      </c>
      <c r="P250" s="23">
        <f>IF(ISNUMBER(SEARCH("合包",R250)),SUMIFS(J:J,G:G,G:G,F:F,F:F)-SUMIFS(打包记录!J:J,打包记录!G:G,G:G,打包记录!F:F,F:F),SUMIFS(J:J,D:D,D:D,G:G,G:G,F:F,F:F)-SUMIFS(打包记录!J:J,打包记录!D:D,D:D,打包记录!G:G,G:G,打包记录!F:F,F:F))</f>
        <v>4</v>
      </c>
      <c r="Q250">
        <v>12</v>
      </c>
    </row>
    <row r="251" spans="1:18" ht="14.25" customHeight="1" x14ac:dyDescent="0.15">
      <c r="A251">
        <v>247</v>
      </c>
      <c r="B251" s="21">
        <v>46267</v>
      </c>
      <c r="C251" t="s">
        <v>189</v>
      </c>
      <c r="D251" s="24" t="s">
        <v>182</v>
      </c>
      <c r="E251" t="s">
        <v>277</v>
      </c>
      <c r="F251">
        <v>39407267</v>
      </c>
      <c r="G251" t="s">
        <v>60</v>
      </c>
      <c r="H251" t="str">
        <f>_xlfn.XLOOKUP(G251,产品资料!C:C,产品资料!E:E)</f>
        <v>4609后内垫板大槽(0.8MM)</v>
      </c>
      <c r="I251" s="23" t="str">
        <f>_xlfn.XLOOKUP(G251,产品资料!C:C,产品资料!F:F)</f>
        <v>0.8*145*754.5</v>
      </c>
      <c r="J251">
        <f>3.75*Q251-K251</f>
        <v>45</v>
      </c>
      <c r="L251" s="28">
        <f>_xlfn.XLOOKUP(G251,产品资料!C:C,产品资料!O:O)*J251</f>
        <v>30.893832</v>
      </c>
      <c r="M251" s="31">
        <f>IFERROR(_xlfn.XLOOKUP(G251,产品资料!C:C,产品资料!L:L)*J251,0)</f>
        <v>80.954999999999998</v>
      </c>
      <c r="N251">
        <f>IFERROR(_xlfn.XLOOKUP(G251,产品资料!C:C,产品资料!M:M)*J251,0)</f>
        <v>270</v>
      </c>
      <c r="O251" s="35" t="s">
        <v>280</v>
      </c>
      <c r="P251" s="23">
        <f>IF(ISNUMBER(SEARCH("合包",R251)),SUMIFS(J:J,G:G,G:G,F:F,F:F)-SUMIFS(打包记录!J:J,打包记录!G:G,G:G,打包记录!F:F,F:F),SUMIFS(J:J,D:D,D:D,G:G,G:G,F:F,F:F)-SUMIFS(打包记录!J:J,打包记录!D:D,D:D,打包记录!G:G,G:G,打包记录!F:F,F:F))</f>
        <v>4</v>
      </c>
      <c r="Q251">
        <v>12</v>
      </c>
    </row>
    <row r="252" spans="1:18" ht="14.25" customHeight="1" x14ac:dyDescent="0.15">
      <c r="A252">
        <v>248</v>
      </c>
      <c r="B252" s="21">
        <v>46267</v>
      </c>
      <c r="C252" t="s">
        <v>189</v>
      </c>
      <c r="D252" s="24" t="s">
        <v>182</v>
      </c>
      <c r="E252" t="s">
        <v>277</v>
      </c>
      <c r="F252">
        <v>39407267</v>
      </c>
      <c r="G252" t="s">
        <v>60</v>
      </c>
      <c r="H252" t="str">
        <f>_xlfn.XLOOKUP(G252,产品资料!C:C,产品资料!E:E)</f>
        <v>4609后内垫板大槽(0.8MM)</v>
      </c>
      <c r="I252" s="23" t="str">
        <f>_xlfn.XLOOKUP(G252,产品资料!C:C,产品资料!F:F)</f>
        <v>0.8*145*754.5</v>
      </c>
      <c r="J252">
        <f>16.75*Q252-K252</f>
        <v>201</v>
      </c>
      <c r="L252" s="28">
        <f>_xlfn.XLOOKUP(G252,产品资料!C:C,产品资料!O:O)*J252</f>
        <v>137.99244959999999</v>
      </c>
      <c r="M252" s="31">
        <f>IFERROR(_xlfn.XLOOKUP(G252,产品资料!C:C,产品资料!L:L)*J252,0)</f>
        <v>361.59899999999999</v>
      </c>
      <c r="N252">
        <f>IFERROR(_xlfn.XLOOKUP(G252,产品资料!C:C,产品资料!M:M)*J252,0)</f>
        <v>1206</v>
      </c>
      <c r="O252" s="50" t="s">
        <v>281</v>
      </c>
      <c r="P252" s="23">
        <f>IF(ISNUMBER(SEARCH("合包",R252)),SUMIFS(J:J,G:G,G:G,F:F,F:F)-SUMIFS(打包记录!J:J,打包记录!G:G,G:G,打包记录!F:F,F:F),SUMIFS(J:J,D:D,D:D,G:G,G:G,F:F,F:F)-SUMIFS(打包记录!J:J,打包记录!D:D,D:D,打包记录!G:G,G:G,打包记录!F:F,F:F))</f>
        <v>4</v>
      </c>
      <c r="Q252">
        <v>12</v>
      </c>
    </row>
    <row r="253" spans="1:18" ht="14.25" customHeight="1" x14ac:dyDescent="0.15">
      <c r="A253">
        <v>249</v>
      </c>
      <c r="B253" s="21">
        <v>46267</v>
      </c>
      <c r="C253" t="s">
        <v>189</v>
      </c>
      <c r="D253" s="24" t="s">
        <v>182</v>
      </c>
      <c r="E253" t="s">
        <v>277</v>
      </c>
      <c r="F253">
        <v>39407267</v>
      </c>
      <c r="G253" t="s">
        <v>105</v>
      </c>
      <c r="H253" t="str">
        <f>_xlfn.XLOOKUP(G253,产品资料!C:C,产品资料!E:E)</f>
        <v>4609小拉手(0.8MM）</v>
      </c>
      <c r="I253" s="23" t="str">
        <f>_xlfn.XLOOKUP(G253,产品资料!C:C,产品资料!F:F)</f>
        <v>0.8*142*515</v>
      </c>
      <c r="J253">
        <f t="shared" ref="J253" si="25">16.75*Q253-K253</f>
        <v>268</v>
      </c>
      <c r="L253" s="28">
        <f>_xlfn.XLOOKUP(G253,产品资料!C:C,产品资料!O:O)*J253</f>
        <v>122.50848159999998</v>
      </c>
      <c r="M253" s="31">
        <f>IFERROR(_xlfn.XLOOKUP(G253,产品资料!C:C,产品资料!L:L)*J253,0)</f>
        <v>350.54400000000004</v>
      </c>
      <c r="N253">
        <f>IFERROR(_xlfn.XLOOKUP(G253,产品资料!C:C,产品资料!M:M)*J253,0)</f>
        <v>0</v>
      </c>
      <c r="O253" s="51"/>
      <c r="P253" s="23">
        <f>IF(ISNUMBER(SEARCH("合包",R253)),SUMIFS(J:J,G:G,G:G,F:F,F:F)-SUMIFS(打包记录!J:J,打包记录!G:G,G:G,打包记录!F:F,F:F),SUMIFS(J:J,D:D,D:D,G:G,G:G,F:F,F:F)-SUMIFS(打包记录!J:J,打包记录!D:D,D:D,打包记录!G:G,G:G,打包记录!F:F,F:F))</f>
        <v>4</v>
      </c>
      <c r="Q253">
        <v>16</v>
      </c>
    </row>
    <row r="254" spans="1:18" ht="14.25" customHeight="1" x14ac:dyDescent="0.15">
      <c r="A254">
        <v>250</v>
      </c>
      <c r="B254" s="21">
        <v>46267</v>
      </c>
      <c r="C254" t="s">
        <v>189</v>
      </c>
      <c r="D254" s="24" t="s">
        <v>182</v>
      </c>
      <c r="E254" t="s">
        <v>277</v>
      </c>
      <c r="F254">
        <v>39407267</v>
      </c>
      <c r="G254" t="s">
        <v>65</v>
      </c>
      <c r="H254" t="str">
        <f>_xlfn.XLOOKUP(G254,产品资料!C:C,产品资料!E:E)</f>
        <v>4609中隔板(0.8MM)</v>
      </c>
      <c r="I254" s="23" t="str">
        <f>_xlfn.XLOOKUP(G254,产品资料!C:C,产品资料!F:F)</f>
        <v>0.8*481.5*550</v>
      </c>
      <c r="J254">
        <f>13.25*Q254-K254</f>
        <v>265</v>
      </c>
      <c r="L254" s="28">
        <f>_xlfn.XLOOKUP(G254,产品资料!C:C,产品资料!O:O)*J254</f>
        <v>439.96455400000002</v>
      </c>
      <c r="M254" s="31">
        <f>IFERROR(_xlfn.XLOOKUP(G254,产品资料!C:C,产品资料!L:L)*J254,0)</f>
        <v>546.69500000000005</v>
      </c>
      <c r="N254">
        <f>IFERROR(_xlfn.XLOOKUP(G254,产品资料!C:C,产品资料!M:M)*J254,0)</f>
        <v>3975</v>
      </c>
      <c r="O254" s="50" t="s">
        <v>282</v>
      </c>
      <c r="P254" s="23">
        <f>IF(ISNUMBER(SEARCH("合包",R254)),SUMIFS(J:J,G:G,G:G,F:F,F:F)-SUMIFS(打包记录!J:J,打包记录!G:G,G:G,打包记录!F:F,F:F),SUMIFS(J:J,D:D,D:D,G:G,G:G,F:F,F:F)-SUMIFS(打包记录!J:J,打包记录!D:D,D:D,打包记录!G:G,G:G,打包记录!F:F,F:F))</f>
        <v>2</v>
      </c>
      <c r="Q254">
        <v>20</v>
      </c>
      <c r="R254" t="s">
        <v>166</v>
      </c>
    </row>
    <row r="255" spans="1:18" ht="14.25" customHeight="1" x14ac:dyDescent="0.15">
      <c r="A255">
        <v>251</v>
      </c>
      <c r="B255" s="21">
        <v>46267</v>
      </c>
      <c r="C255" t="s">
        <v>189</v>
      </c>
      <c r="D255" s="24" t="s">
        <v>182</v>
      </c>
      <c r="E255" t="s">
        <v>277</v>
      </c>
      <c r="F255">
        <v>39407267</v>
      </c>
      <c r="G255" t="s">
        <v>70</v>
      </c>
      <c r="H255" t="str">
        <f>_xlfn.XLOOKUP(G255,产品资料!C:C,产品资料!E:E)</f>
        <v>4609中隔内垫板(0.8MM)</v>
      </c>
      <c r="I255" s="23" t="str">
        <f>_xlfn.XLOOKUP(G255,产品资料!C:C,产品资料!F:F)</f>
        <v>0.8*112*550</v>
      </c>
      <c r="J255">
        <f t="shared" ref="J255:J256" si="26">13.25*Q255-K255</f>
        <v>265</v>
      </c>
      <c r="L255" s="28">
        <f>_xlfn.XLOOKUP(G255,产品资料!C:C,产品资料!O:O)*J255</f>
        <v>102.248448</v>
      </c>
      <c r="M255" s="31">
        <f>IFERROR(_xlfn.XLOOKUP(G255,产品资料!C:C,产品资料!L:L)*J255,0)</f>
        <v>351.125</v>
      </c>
      <c r="N255">
        <f>IFERROR(_xlfn.XLOOKUP(G255,产品资料!C:C,产品资料!M:M)*J255,0)</f>
        <v>1325</v>
      </c>
      <c r="O255" s="51"/>
      <c r="P255" s="23">
        <f>IF(ISNUMBER(SEARCH("合包",R255)),SUMIFS(J:J,G:G,G:G,F:F,F:F)-SUMIFS(打包记录!J:J,打包记录!G:G,G:G,打包记录!F:F,F:F),SUMIFS(J:J,D:D,D:D,G:G,G:G,F:F,F:F)-SUMIFS(打包记录!J:J,打包记录!D:D,D:D,打包记录!G:G,G:G,打包记录!F:F,F:F))</f>
        <v>2</v>
      </c>
      <c r="Q255">
        <v>20</v>
      </c>
    </row>
    <row r="256" spans="1:18" ht="14.25" customHeight="1" x14ac:dyDescent="0.15">
      <c r="A256">
        <v>252</v>
      </c>
      <c r="B256" s="21">
        <v>46267</v>
      </c>
      <c r="C256" t="s">
        <v>189</v>
      </c>
      <c r="D256" s="24" t="s">
        <v>182</v>
      </c>
      <c r="E256" t="s">
        <v>277</v>
      </c>
      <c r="F256">
        <v>39407267</v>
      </c>
      <c r="G256" t="s">
        <v>75</v>
      </c>
      <c r="H256" t="str">
        <f>_xlfn.XLOOKUP(G256,产品资料!C:C,产品资料!E:E)</f>
        <v>4609中隔内垫板大槽(0.8MM)</v>
      </c>
      <c r="I256" s="23" t="str">
        <f>_xlfn.XLOOKUP(G256,产品资料!C:C,产品资料!F:F)</f>
        <v>0.8*137*550</v>
      </c>
      <c r="J256">
        <f t="shared" si="26"/>
        <v>212</v>
      </c>
      <c r="L256" s="28">
        <f>_xlfn.XLOOKUP(G256,产品资料!C:C,产品资料!O:O)*J256</f>
        <v>100.22478079999999</v>
      </c>
      <c r="M256" s="31">
        <f>IFERROR(_xlfn.XLOOKUP(G256,产品资料!C:C,产品资料!L:L)*J256,0)</f>
        <v>291.28800000000001</v>
      </c>
      <c r="N256">
        <f>IFERROR(_xlfn.XLOOKUP(G256,产品资料!C:C,产品资料!M:M)*J256,0)</f>
        <v>1060</v>
      </c>
      <c r="O256" s="51"/>
      <c r="P256" s="23">
        <f>IF(ISNUMBER(SEARCH("合包",R256)),SUMIFS(J:J,G:G,G:G,F:F,F:F)-SUMIFS(打包记录!J:J,打包记录!G:G,G:G,打包记录!F:F,F:F),SUMIFS(J:J,D:D,D:D,G:G,G:G,F:F,F:F)-SUMIFS(打包记录!J:J,打包记录!D:D,D:D,打包记录!G:G,G:G,打包记录!F:F,F:F))</f>
        <v>2</v>
      </c>
      <c r="Q256">
        <v>16</v>
      </c>
    </row>
    <row r="257" spans="1:18" ht="14.25" customHeight="1" x14ac:dyDescent="0.15">
      <c r="A257">
        <v>253</v>
      </c>
      <c r="B257" s="21">
        <v>46267</v>
      </c>
      <c r="C257" t="s">
        <v>189</v>
      </c>
      <c r="D257" s="24" t="s">
        <v>182</v>
      </c>
      <c r="E257" t="s">
        <v>277</v>
      </c>
      <c r="F257">
        <v>39407267</v>
      </c>
      <c r="G257" t="s">
        <v>70</v>
      </c>
      <c r="H257" t="str">
        <f>_xlfn.XLOOKUP(G257,产品资料!C:C,产品资料!E:E)</f>
        <v>4609中隔内垫板(0.8MM)</v>
      </c>
      <c r="I257" s="23" t="str">
        <f>_xlfn.XLOOKUP(G257,产品资料!C:C,产品资料!F:F)</f>
        <v>0.8*112*550</v>
      </c>
      <c r="J257">
        <f>11.5*Q257-K257</f>
        <v>92</v>
      </c>
      <c r="L257" s="28">
        <f>_xlfn.XLOOKUP(G257,产品资料!C:C,产品资料!O:O)*J257</f>
        <v>35.497574399999998</v>
      </c>
      <c r="M257" s="31">
        <f>IFERROR(_xlfn.XLOOKUP(G257,产品资料!C:C,产品资料!L:L)*J257,0)</f>
        <v>121.89999999999999</v>
      </c>
      <c r="N257">
        <f>IFERROR(_xlfn.XLOOKUP(G257,产品资料!C:C,产品资料!M:M)*J257,0)</f>
        <v>460</v>
      </c>
      <c r="O257" s="35" t="s">
        <v>283</v>
      </c>
      <c r="P257" s="23">
        <f>IF(ISNUMBER(SEARCH("合包",R257)),SUMIFS(J:J,G:G,G:G,F:F,F:F)-SUMIFS(打包记录!J:J,打包记录!G:G,G:G,打包记录!F:F,F:F),SUMIFS(J:J,D:D,D:D,G:G,G:G,F:F,F:F)-SUMIFS(打包记录!J:J,打包记录!D:D,D:D,打包记录!G:G,G:G,打包记录!F:F,F:F))</f>
        <v>2</v>
      </c>
      <c r="Q257">
        <v>8</v>
      </c>
    </row>
    <row r="258" spans="1:18" ht="14.25" customHeight="1" x14ac:dyDescent="0.15">
      <c r="A258">
        <v>254</v>
      </c>
      <c r="B258" s="21">
        <v>46267</v>
      </c>
      <c r="C258" t="s">
        <v>189</v>
      </c>
      <c r="D258" s="24" t="s">
        <v>182</v>
      </c>
      <c r="E258" t="s">
        <v>277</v>
      </c>
      <c r="F258">
        <v>39407267</v>
      </c>
      <c r="G258" t="s">
        <v>70</v>
      </c>
      <c r="H258" t="str">
        <f>_xlfn.XLOOKUP(G258,产品资料!C:C,产品资料!E:E)</f>
        <v>4609中隔内垫板(0.8MM)</v>
      </c>
      <c r="I258" s="23" t="str">
        <f>_xlfn.XLOOKUP(G258,产品资料!C:C,产品资料!F:F)</f>
        <v>0.8*112*550</v>
      </c>
      <c r="J258">
        <f t="shared" ref="J258" si="27">7*Q258-K258</f>
        <v>224</v>
      </c>
      <c r="L258" s="28">
        <f>_xlfn.XLOOKUP(G258,产品资料!C:C,产品资料!O:O)*J258</f>
        <v>86.428876799999998</v>
      </c>
      <c r="M258" s="31">
        <f>IFERROR(_xlfn.XLOOKUP(G258,产品资料!C:C,产品资料!L:L)*J258,0)</f>
        <v>296.8</v>
      </c>
      <c r="N258">
        <f>IFERROR(_xlfn.XLOOKUP(G258,产品资料!C:C,产品资料!M:M)*J258,0)</f>
        <v>1120</v>
      </c>
      <c r="O258" s="34" t="s">
        <v>284</v>
      </c>
      <c r="P258" s="23">
        <f>IF(ISNUMBER(SEARCH("合包",R258)),SUMIFS(J:J,G:G,G:G,F:F,F:F)-SUMIFS(打包记录!J:J,打包记录!G:G,G:G,打包记录!F:F,F:F),SUMIFS(J:J,D:D,D:D,G:G,G:G,F:F,F:F)-SUMIFS(打包记录!J:J,打包记录!D:D,D:D,打包记录!G:G,G:G,打包记录!F:F,F:F))</f>
        <v>2</v>
      </c>
      <c r="Q258">
        <v>32</v>
      </c>
    </row>
    <row r="259" spans="1:18" ht="14.25" customHeight="1" x14ac:dyDescent="0.15">
      <c r="A259">
        <v>255</v>
      </c>
      <c r="B259" s="21">
        <v>46267</v>
      </c>
      <c r="C259" t="s">
        <v>189</v>
      </c>
      <c r="D259" s="24" t="s">
        <v>182</v>
      </c>
      <c r="E259" t="s">
        <v>277</v>
      </c>
      <c r="F259">
        <v>39407267</v>
      </c>
      <c r="G259" t="s">
        <v>105</v>
      </c>
      <c r="H259" t="str">
        <f>_xlfn.XLOOKUP(G259,产品资料!C:C,产品资料!E:E)</f>
        <v>4609小拉手(0.8MM）</v>
      </c>
      <c r="I259" s="23" t="str">
        <f>_xlfn.XLOOKUP(G259,产品资料!C:C,产品资料!F:F)</f>
        <v>0.8*142*515</v>
      </c>
      <c r="J259">
        <f>8.75*Q259-K259</f>
        <v>420</v>
      </c>
      <c r="L259" s="28">
        <f>_xlfn.XLOOKUP(G259,产品资料!C:C,产品资料!O:O)*J259</f>
        <v>191.99090399999997</v>
      </c>
      <c r="M259" s="31">
        <f>IFERROR(_xlfn.XLOOKUP(G259,产品资料!C:C,产品资料!L:L)*J259,0)</f>
        <v>549.36</v>
      </c>
      <c r="N259">
        <f>IFERROR(_xlfn.XLOOKUP(G259,产品资料!C:C,产品资料!M:M)*J259,0)</f>
        <v>0</v>
      </c>
      <c r="O259" s="35" t="s">
        <v>285</v>
      </c>
      <c r="P259" s="23">
        <f>IF(ISNUMBER(SEARCH("合包",R259)),SUMIFS(J:J,G:G,G:G,F:F,F:F)-SUMIFS(打包记录!J:J,打包记录!G:G,G:G,打包记录!F:F,F:F),SUMIFS(J:J,D:D,D:D,G:G,G:G,F:F,F:F)-SUMIFS(打包记录!J:J,打包记录!D:D,D:D,打包记录!G:G,G:G,打包记录!F:F,F:F))</f>
        <v>4</v>
      </c>
      <c r="Q259">
        <v>48</v>
      </c>
    </row>
    <row r="260" spans="1:18" ht="14.25" customHeight="1" x14ac:dyDescent="0.15">
      <c r="A260">
        <v>256</v>
      </c>
      <c r="B260" s="21">
        <v>46267</v>
      </c>
      <c r="C260" t="s">
        <v>189</v>
      </c>
      <c r="D260" s="24" t="s">
        <v>182</v>
      </c>
      <c r="E260" t="s">
        <v>277</v>
      </c>
      <c r="F260">
        <v>39407267</v>
      </c>
      <c r="G260" t="s">
        <v>75</v>
      </c>
      <c r="H260" t="str">
        <f>_xlfn.XLOOKUP(G260,产品资料!C:C,产品资料!E:E)</f>
        <v>4609中隔内垫板大槽(0.8MM)</v>
      </c>
      <c r="I260" s="23" t="str">
        <f>_xlfn.XLOOKUP(G260,产品资料!C:C,产品资料!F:F)</f>
        <v>0.8*137*550</v>
      </c>
      <c r="J260">
        <f>3*Q260-K260</f>
        <v>48</v>
      </c>
      <c r="L260" s="28">
        <f>_xlfn.XLOOKUP(G260,产品资料!C:C,产品资料!O:O)*J260</f>
        <v>22.692403199999998</v>
      </c>
      <c r="M260" s="31">
        <f>IFERROR(_xlfn.XLOOKUP(G260,产品资料!C:C,产品资料!L:L)*J260,0)</f>
        <v>65.951999999999998</v>
      </c>
      <c r="N260">
        <f>IFERROR(_xlfn.XLOOKUP(G260,产品资料!C:C,产品资料!M:M)*J260,0)</f>
        <v>240</v>
      </c>
      <c r="O260" s="34" t="s">
        <v>286</v>
      </c>
      <c r="P260" s="23">
        <f>IF(ISNUMBER(SEARCH("合包",R260)),SUMIFS(J:J,G:G,G:G,F:F,F:F)-SUMIFS(打包记录!J:J,打包记录!G:G,G:G,打包记录!F:F,F:F),SUMIFS(J:J,D:D,D:D,G:G,G:G,F:F,F:F)-SUMIFS(打包记录!J:J,打包记录!D:D,D:D,打包记录!G:G,G:G,打包记录!F:F,F:F))</f>
        <v>2</v>
      </c>
      <c r="Q260">
        <v>16</v>
      </c>
    </row>
    <row r="261" spans="1:18" ht="14.25" customHeight="1" x14ac:dyDescent="0.15">
      <c r="A261">
        <v>257</v>
      </c>
      <c r="B261" s="21">
        <v>46267</v>
      </c>
      <c r="C261" t="s">
        <v>189</v>
      </c>
      <c r="D261" s="24" t="s">
        <v>182</v>
      </c>
      <c r="E261" t="s">
        <v>277</v>
      </c>
      <c r="F261">
        <v>39407267</v>
      </c>
      <c r="G261" t="s">
        <v>60</v>
      </c>
      <c r="H261" t="str">
        <f>_xlfn.XLOOKUP(G261,产品资料!C:C,产品资料!E:E)</f>
        <v>4609后内垫板大槽(0.8MM)</v>
      </c>
      <c r="I261" s="23" t="str">
        <f>_xlfn.XLOOKUP(G261,产品资料!C:C,产品资料!F:F)</f>
        <v>0.8*145*754.5</v>
      </c>
      <c r="J261">
        <f>13.5*Q261-K261</f>
        <v>162</v>
      </c>
      <c r="L261" s="28">
        <f>_xlfn.XLOOKUP(G261,产品资料!C:C,产品资料!O:O)*J261</f>
        <v>111.2177952</v>
      </c>
      <c r="M261" s="31">
        <f>IFERROR(_xlfn.XLOOKUP(G261,产品资料!C:C,产品资料!L:L)*J261,0)</f>
        <v>291.43799999999999</v>
      </c>
      <c r="N261">
        <f>IFERROR(_xlfn.XLOOKUP(G261,产品资料!C:C,产品资料!M:M)*J261,0)</f>
        <v>972</v>
      </c>
      <c r="O261" s="35" t="s">
        <v>287</v>
      </c>
      <c r="P261" s="23">
        <f>IF(ISNUMBER(SEARCH("合包",R261)),SUMIFS(J:J,G:G,G:G,F:F,F:F)-SUMIFS(打包记录!J:J,打包记录!G:G,G:G,打包记录!F:F,F:F),SUMIFS(J:J,D:D,D:D,G:G,G:G,F:F,F:F)-SUMIFS(打包记录!J:J,打包记录!D:D,D:D,打包记录!G:G,G:G,打包记录!F:F,F:F))</f>
        <v>4</v>
      </c>
      <c r="Q261">
        <v>12</v>
      </c>
    </row>
    <row r="262" spans="1:18" ht="14.25" customHeight="1" x14ac:dyDescent="0.15">
      <c r="A262">
        <v>258</v>
      </c>
      <c r="B262" s="21">
        <v>46271</v>
      </c>
      <c r="C262" t="s">
        <v>191</v>
      </c>
      <c r="D262" t="s">
        <v>179</v>
      </c>
      <c r="E262" t="s">
        <v>288</v>
      </c>
      <c r="F262">
        <v>39407267</v>
      </c>
      <c r="G262" t="s">
        <v>130</v>
      </c>
      <c r="H262" t="str">
        <f>_xlfn.XLOOKUP(G262,产品资料!C:C,产品资料!E:E)</f>
        <v>4609横槽(0.9MM)</v>
      </c>
      <c r="I262" s="23" t="str">
        <f>_xlfn.XLOOKUP(G262,产品资料!C:C,产品资料!F:F)</f>
        <v>0.9*86.5*1168.5</v>
      </c>
      <c r="J262">
        <v>50</v>
      </c>
      <c r="L262" s="28">
        <f>_xlfn.XLOOKUP(G262,产品资料!C:C,产品资料!O:O)*J262</f>
        <v>35.462767499999998</v>
      </c>
      <c r="M262" s="31">
        <f>IFERROR(_xlfn.XLOOKUP(G262,产品资料!C:C,产品资料!L:L)*J262,0)</f>
        <v>127.45</v>
      </c>
      <c r="N262">
        <f>IFERROR(_xlfn.XLOOKUP(G262,产品资料!C:C,产品资料!M:M)*J262,0)</f>
        <v>0</v>
      </c>
      <c r="O262" s="36" t="s">
        <v>289</v>
      </c>
      <c r="P262" s="23">
        <f>IF(ISNUMBER(SEARCH("合包",R262)),SUMIFS(J:J,G:G,G:G,F:F,F:F)-SUMIFS(打包记录!J:J,打包记录!G:G,G:G,打包记录!F:F,F:F),SUMIFS(J:J,D:D,D:D,G:G,G:G,F:F,F:F)-SUMIFS(打包记录!J:J,打包记录!D:D,D:D,打包记录!G:G,G:G,打包记录!F:F,F:F))</f>
        <v>50</v>
      </c>
    </row>
    <row r="263" spans="1:18" ht="14.25" customHeight="1" x14ac:dyDescent="0.15">
      <c r="A263">
        <v>259</v>
      </c>
      <c r="B263" s="21">
        <v>46272</v>
      </c>
      <c r="C263" t="s">
        <v>191</v>
      </c>
      <c r="D263" s="24" t="s">
        <v>182</v>
      </c>
      <c r="E263" t="s">
        <v>290</v>
      </c>
      <c r="F263">
        <v>39407267</v>
      </c>
      <c r="G263" t="s">
        <v>70</v>
      </c>
      <c r="H263" t="str">
        <f>_xlfn.XLOOKUP(G263,产品资料!C:C,产品资料!E:E)</f>
        <v>4609中隔内垫板(0.8MM)</v>
      </c>
      <c r="I263" s="23" t="str">
        <f>_xlfn.XLOOKUP(G263,产品资料!C:C,产品资料!F:F)</f>
        <v>0.8*112*550</v>
      </c>
      <c r="J263">
        <f>30*Q263*4-K263</f>
        <v>600</v>
      </c>
      <c r="L263" s="28">
        <f>_xlfn.XLOOKUP(G263,产品资料!C:C,产品资料!O:O)*J263</f>
        <v>231.50592</v>
      </c>
      <c r="M263" s="31">
        <f>IFERROR(_xlfn.XLOOKUP(G263,产品资料!C:C,产品资料!L:L)*J263,0)</f>
        <v>795</v>
      </c>
      <c r="N263">
        <f>IFERROR(_xlfn.XLOOKUP(G263,产品资料!C:C,产品资料!M:M)*J263,0)</f>
        <v>3000</v>
      </c>
      <c r="O263" s="51" t="s">
        <v>291</v>
      </c>
      <c r="P263" s="23">
        <f>IF(ISNUMBER(SEARCH("合包",R263)),SUMIFS(J:J,G:G,G:G,F:F,F:F)-SUMIFS(打包记录!J:J,打包记录!G:G,G:G,打包记录!F:F,F:F),SUMIFS(J:J,D:D,D:D,G:G,G:G,F:F,F:F)-SUMIFS(打包记录!J:J,打包记录!D:D,D:D,打包记录!G:G,G:G,打包记录!F:F,F:F))</f>
        <v>2</v>
      </c>
      <c r="Q263">
        <v>5</v>
      </c>
    </row>
    <row r="264" spans="1:18" ht="14.25" customHeight="1" x14ac:dyDescent="0.15">
      <c r="A264">
        <v>260</v>
      </c>
      <c r="B264" s="21">
        <v>46272</v>
      </c>
      <c r="C264" t="s">
        <v>191</v>
      </c>
      <c r="D264" s="24" t="s">
        <v>182</v>
      </c>
      <c r="E264" t="s">
        <v>290</v>
      </c>
      <c r="F264">
        <v>39407267</v>
      </c>
      <c r="G264" t="s">
        <v>100</v>
      </c>
      <c r="H264" t="str">
        <f>_xlfn.XLOOKUP(G264,产品资料!C:C,产品资料!E:E)</f>
        <v>4609小抽斗(0.8MM)</v>
      </c>
      <c r="I264" s="23" t="str">
        <f>_xlfn.XLOOKUP(G264,产品资料!C:C,产品资料!F:F)</f>
        <v>0.8*418*603</v>
      </c>
      <c r="J264">
        <f t="shared" ref="J264:J266" si="28">30*Q264*4-K264</f>
        <v>720</v>
      </c>
      <c r="L264" s="28">
        <f>_xlfn.XLOOKUP(G264,产品资料!C:C,产品资料!O:O)*J264</f>
        <v>1132.2990719999998</v>
      </c>
      <c r="M264" s="31">
        <f>IFERROR(_xlfn.XLOOKUP(G264,产品资料!C:C,产品资料!L:L)*J264,0)</f>
        <v>1504.08</v>
      </c>
      <c r="N264">
        <f>IFERROR(_xlfn.XLOOKUP(G264,产品资料!C:C,产品资料!M:M)*J264,0)</f>
        <v>8640</v>
      </c>
      <c r="O264" s="51"/>
      <c r="P264" s="23">
        <f>IF(ISNUMBER(SEARCH("合包",R264)),SUMIFS(J:J,G:G,G:G,F:F,F:F)-SUMIFS(打包记录!J:J,打包记录!G:G,G:G,打包记录!F:F,F:F),SUMIFS(J:J,D:D,D:D,G:G,G:G,F:F,F:F)-SUMIFS(打包记录!J:J,打包记录!D:D,D:D,打包记录!G:G,G:G,打包记录!F:F,F:F))</f>
        <v>3</v>
      </c>
      <c r="Q264">
        <v>6</v>
      </c>
    </row>
    <row r="265" spans="1:18" ht="14.25" customHeight="1" x14ac:dyDescent="0.15">
      <c r="A265">
        <v>261</v>
      </c>
      <c r="B265" s="21">
        <v>46272</v>
      </c>
      <c r="C265" t="s">
        <v>191</v>
      </c>
      <c r="D265" s="24" t="s">
        <v>182</v>
      </c>
      <c r="E265" t="s">
        <v>290</v>
      </c>
      <c r="F265">
        <v>39407267</v>
      </c>
      <c r="G265" t="s">
        <v>105</v>
      </c>
      <c r="H265" t="str">
        <f>_xlfn.XLOOKUP(G265,产品资料!C:C,产品资料!E:E)</f>
        <v>4609小拉手(0.8MM）</v>
      </c>
      <c r="I265" s="23" t="str">
        <f>_xlfn.XLOOKUP(G265,产品资料!C:C,产品资料!F:F)</f>
        <v>0.8*142*515</v>
      </c>
      <c r="J265">
        <f t="shared" si="28"/>
        <v>1200</v>
      </c>
      <c r="L265" s="28">
        <f>_xlfn.XLOOKUP(G265,产品资料!C:C,产品资料!O:O)*J265</f>
        <v>548.54543999999999</v>
      </c>
      <c r="M265" s="31">
        <f>IFERROR(_xlfn.XLOOKUP(G265,产品资料!C:C,产品资料!L:L)*J265,0)</f>
        <v>1569.6000000000001</v>
      </c>
      <c r="N265">
        <f>IFERROR(_xlfn.XLOOKUP(G265,产品资料!C:C,产品资料!M:M)*J265,0)</f>
        <v>0</v>
      </c>
      <c r="O265" s="51"/>
      <c r="P265" s="23">
        <f>IF(ISNUMBER(SEARCH("合包",R265)),SUMIFS(J:J,G:G,G:G,F:F,F:F)-SUMIFS(打包记录!J:J,打包记录!G:G,G:G,打包记录!F:F,F:F),SUMIFS(J:J,D:D,D:D,G:G,G:G,F:F,F:F)-SUMIFS(打包记录!J:J,打包记录!D:D,D:D,打包记录!G:G,G:G,打包记录!F:F,F:F))</f>
        <v>4</v>
      </c>
      <c r="Q265">
        <v>10</v>
      </c>
    </row>
    <row r="266" spans="1:18" ht="14.25" customHeight="1" x14ac:dyDescent="0.15">
      <c r="A266">
        <v>262</v>
      </c>
      <c r="B266" s="21">
        <v>46272</v>
      </c>
      <c r="C266" t="s">
        <v>191</v>
      </c>
      <c r="D266" s="24" t="s">
        <v>182</v>
      </c>
      <c r="E266" t="s">
        <v>290</v>
      </c>
      <c r="F266">
        <v>39407267</v>
      </c>
      <c r="G266" t="s">
        <v>120</v>
      </c>
      <c r="H266" t="str">
        <f>_xlfn.XLOOKUP(G266,产品资料!C:C,产品资料!E:E)</f>
        <v>4609大抽斗(0.8MM)</v>
      </c>
      <c r="I266" s="23" t="str">
        <f>_xlfn.XLOOKUP(G266,产品资料!C:C,产品资料!F:F)</f>
        <v>0.8*418*919</v>
      </c>
      <c r="J266">
        <f t="shared" si="28"/>
        <v>236</v>
      </c>
      <c r="K266">
        <v>4</v>
      </c>
      <c r="L266" s="28">
        <f>_xlfn.XLOOKUP(G266,产品资料!C:C,产品资料!O:O)*J266</f>
        <v>566.77703359999987</v>
      </c>
      <c r="M266" s="31">
        <f>IFERROR(_xlfn.XLOOKUP(G266,产品资料!C:C,产品资料!L:L)*J266,0)</f>
        <v>642.15600000000006</v>
      </c>
      <c r="N266">
        <f>IFERROR(_xlfn.XLOOKUP(G266,产品资料!C:C,产品资料!M:M)*J266,0)</f>
        <v>4248</v>
      </c>
      <c r="O266" s="51"/>
      <c r="P266" s="23">
        <f>IF(ISNUMBER(SEARCH("合包",R266)),SUMIFS(J:J,G:G,G:G,F:F,F:F)-SUMIFS(打包记录!J:J,打包记录!G:G,G:G,打包记录!F:F,F:F),SUMIFS(J:J,D:D,D:D,G:G,G:G,F:F,F:F)-SUMIFS(打包记录!J:J,打包记录!D:D,D:D,打包记录!G:G,G:G,打包记录!F:F,F:F))</f>
        <v>2</v>
      </c>
      <c r="Q266">
        <v>2</v>
      </c>
    </row>
    <row r="267" spans="1:18" ht="14.25" customHeight="1" x14ac:dyDescent="0.15">
      <c r="A267">
        <v>263</v>
      </c>
      <c r="B267" s="21">
        <v>46273</v>
      </c>
      <c r="C267" t="s">
        <v>189</v>
      </c>
      <c r="D267" s="24" t="s">
        <v>182</v>
      </c>
      <c r="E267" t="s">
        <v>290</v>
      </c>
      <c r="F267">
        <v>39407267</v>
      </c>
      <c r="G267" t="s">
        <v>70</v>
      </c>
      <c r="H267" t="str">
        <f>_xlfn.XLOOKUP(G267,产品资料!C:C,产品资料!E:E)</f>
        <v>4609中隔内垫板(0.8MM)</v>
      </c>
      <c r="I267" s="23" t="str">
        <f>_xlfn.XLOOKUP(G267,产品资料!C:C,产品资料!F:F)</f>
        <v>0.8*112*550</v>
      </c>
      <c r="J267">
        <f>2.5*Q267*4-K267</f>
        <v>50</v>
      </c>
      <c r="L267" s="28">
        <f>_xlfn.XLOOKUP(G267,产品资料!C:C,产品资料!O:O)*J267</f>
        <v>19.292159999999999</v>
      </c>
      <c r="M267" s="31">
        <f>IFERROR(_xlfn.XLOOKUP(G267,产品资料!C:C,产品资料!L:L)*J267,0)</f>
        <v>66.25</v>
      </c>
      <c r="N267">
        <f>IFERROR(_xlfn.XLOOKUP(G267,产品资料!C:C,产品资料!M:M)*J267,0)</f>
        <v>250</v>
      </c>
      <c r="O267" s="50" t="s">
        <v>292</v>
      </c>
      <c r="P267" s="23">
        <f>IF(ISNUMBER(SEARCH("合包",R267)),SUMIFS(J:J,G:G,G:G,F:F,F:F)-SUMIFS(打包记录!J:J,打包记录!G:G,G:G,打包记录!F:F,F:F),SUMIFS(J:J,D:D,D:D,G:G,G:G,F:F,F:F)-SUMIFS(打包记录!J:J,打包记录!D:D,D:D,打包记录!G:G,G:G,打包记录!F:F,F:F))</f>
        <v>2</v>
      </c>
      <c r="Q267">
        <v>5</v>
      </c>
    </row>
    <row r="268" spans="1:18" ht="14.25" customHeight="1" x14ac:dyDescent="0.15">
      <c r="A268">
        <v>264</v>
      </c>
      <c r="B268" s="21">
        <v>46273</v>
      </c>
      <c r="C268" t="s">
        <v>189</v>
      </c>
      <c r="D268" s="24" t="s">
        <v>182</v>
      </c>
      <c r="E268" t="s">
        <v>290</v>
      </c>
      <c r="F268">
        <v>39407267</v>
      </c>
      <c r="G268" t="s">
        <v>100</v>
      </c>
      <c r="H268" t="str">
        <f>_xlfn.XLOOKUP(G268,产品资料!C:C,产品资料!E:E)</f>
        <v>4609小抽斗(0.8MM)</v>
      </c>
      <c r="I268" s="23" t="str">
        <f>_xlfn.XLOOKUP(G268,产品资料!C:C,产品资料!F:F)</f>
        <v>0.8*418*603</v>
      </c>
      <c r="J268">
        <f t="shared" ref="J268:J270" si="29">2.5*Q268*4-K268</f>
        <v>60</v>
      </c>
      <c r="L268" s="28">
        <f>_xlfn.XLOOKUP(G268,产品资料!C:C,产品资料!O:O)*J268</f>
        <v>94.358255999999983</v>
      </c>
      <c r="M268" s="31">
        <f>IFERROR(_xlfn.XLOOKUP(G268,产品资料!C:C,产品资料!L:L)*J268,0)</f>
        <v>125.34</v>
      </c>
      <c r="N268">
        <f>IFERROR(_xlfn.XLOOKUP(G268,产品资料!C:C,产品资料!M:M)*J268,0)</f>
        <v>720</v>
      </c>
      <c r="O268" s="51"/>
      <c r="P268" s="23">
        <f>IF(ISNUMBER(SEARCH("合包",R268)),SUMIFS(J:J,G:G,G:G,F:F,F:F)-SUMIFS(打包记录!J:J,打包记录!G:G,G:G,打包记录!F:F,F:F),SUMIFS(J:J,D:D,D:D,G:G,G:G,F:F,F:F)-SUMIFS(打包记录!J:J,打包记录!D:D,D:D,打包记录!G:G,G:G,打包记录!F:F,F:F))</f>
        <v>3</v>
      </c>
      <c r="Q268">
        <v>6</v>
      </c>
    </row>
    <row r="269" spans="1:18" ht="14.25" customHeight="1" x14ac:dyDescent="0.15">
      <c r="A269">
        <v>265</v>
      </c>
      <c r="B269" s="21">
        <v>46273</v>
      </c>
      <c r="C269" t="s">
        <v>189</v>
      </c>
      <c r="D269" s="24" t="s">
        <v>182</v>
      </c>
      <c r="E269" t="s">
        <v>290</v>
      </c>
      <c r="F269">
        <v>39407267</v>
      </c>
      <c r="G269" t="s">
        <v>105</v>
      </c>
      <c r="H269" t="str">
        <f>_xlfn.XLOOKUP(G269,产品资料!C:C,产品资料!E:E)</f>
        <v>4609小拉手(0.8MM）</v>
      </c>
      <c r="I269" s="23" t="str">
        <f>_xlfn.XLOOKUP(G269,产品资料!C:C,产品资料!F:F)</f>
        <v>0.8*142*515</v>
      </c>
      <c r="J269">
        <f t="shared" si="29"/>
        <v>100</v>
      </c>
      <c r="L269" s="28">
        <f>_xlfn.XLOOKUP(G269,产品资料!C:C,产品资料!O:O)*J269</f>
        <v>45.712119999999992</v>
      </c>
      <c r="M269" s="31">
        <f>IFERROR(_xlfn.XLOOKUP(G269,产品资料!C:C,产品资料!L:L)*J269,0)</f>
        <v>130.80000000000001</v>
      </c>
      <c r="N269">
        <f>IFERROR(_xlfn.XLOOKUP(G269,产品资料!C:C,产品资料!M:M)*J269,0)</f>
        <v>0</v>
      </c>
      <c r="O269" s="51"/>
      <c r="P269" s="23">
        <f>IF(ISNUMBER(SEARCH("合包",R269)),SUMIFS(J:J,G:G,G:G,F:F,F:F)-SUMIFS(打包记录!J:J,打包记录!G:G,G:G,打包记录!F:F,F:F),SUMIFS(J:J,D:D,D:D,G:G,G:G,F:F,F:F)-SUMIFS(打包记录!J:J,打包记录!D:D,D:D,打包记录!G:G,G:G,打包记录!F:F,F:F))</f>
        <v>4</v>
      </c>
      <c r="Q269">
        <v>10</v>
      </c>
    </row>
    <row r="270" spans="1:18" ht="14.25" customHeight="1" x14ac:dyDescent="0.15">
      <c r="A270">
        <v>266</v>
      </c>
      <c r="B270" s="21">
        <v>46273</v>
      </c>
      <c r="C270" t="s">
        <v>189</v>
      </c>
      <c r="D270" s="24" t="s">
        <v>182</v>
      </c>
      <c r="E270" t="s">
        <v>290</v>
      </c>
      <c r="F270">
        <v>39407267</v>
      </c>
      <c r="G270" t="s">
        <v>120</v>
      </c>
      <c r="H270" t="str">
        <f>_xlfn.XLOOKUP(G270,产品资料!C:C,产品资料!E:E)</f>
        <v>4609大抽斗(0.8MM)</v>
      </c>
      <c r="I270" s="23" t="str">
        <f>_xlfn.XLOOKUP(G270,产品资料!C:C,产品资料!F:F)</f>
        <v>0.8*418*919</v>
      </c>
      <c r="J270">
        <f t="shared" si="29"/>
        <v>20</v>
      </c>
      <c r="L270" s="28">
        <f>_xlfn.XLOOKUP(G270,产品资料!C:C,产品资料!O:O)*J270</f>
        <v>48.03195199999999</v>
      </c>
      <c r="M270" s="31">
        <f>IFERROR(_xlfn.XLOOKUP(G270,产品资料!C:C,产品资料!L:L)*J270,0)</f>
        <v>54.42</v>
      </c>
      <c r="N270">
        <f>IFERROR(_xlfn.XLOOKUP(G270,产品资料!C:C,产品资料!M:M)*J270,0)</f>
        <v>360</v>
      </c>
      <c r="O270" s="51"/>
      <c r="P270" s="23">
        <f>IF(ISNUMBER(SEARCH("合包",R270)),SUMIFS(J:J,G:G,G:G,F:F,F:F)-SUMIFS(打包记录!J:J,打包记录!G:G,G:G,打包记录!F:F,F:F),SUMIFS(J:J,D:D,D:D,G:G,G:G,F:F,F:F)-SUMIFS(打包记录!J:J,打包记录!D:D,D:D,打包记录!G:G,G:G,打包记录!F:F,F:F))</f>
        <v>2</v>
      </c>
      <c r="Q270">
        <v>2</v>
      </c>
    </row>
    <row r="271" spans="1:18" ht="14.25" customHeight="1" x14ac:dyDescent="0.15">
      <c r="A271">
        <v>267</v>
      </c>
      <c r="B271" s="21">
        <v>46273</v>
      </c>
      <c r="C271" t="s">
        <v>189</v>
      </c>
      <c r="D271" s="24" t="s">
        <v>182</v>
      </c>
      <c r="E271" t="s">
        <v>290</v>
      </c>
      <c r="F271">
        <v>39407267</v>
      </c>
      <c r="G271" t="s">
        <v>19</v>
      </c>
      <c r="H271" t="str">
        <f>_xlfn.XLOOKUP(G271,产品资料!C:C,产品资料!E:E)</f>
        <v xml:space="preserve">4609底盖小加强板（0.8MM ) </v>
      </c>
      <c r="I271" s="23" t="str">
        <f>_xlfn.XLOOKUP(G271,产品资料!C:C,产品资料!F:F)</f>
        <v>0.8*119*1162</v>
      </c>
      <c r="J271">
        <f>17*Q271-K271</f>
        <v>136</v>
      </c>
      <c r="L271" s="28">
        <f>_xlfn.XLOOKUP(G271,产品资料!C:C,产品资料!O:O)*J271</f>
        <v>116.94063359999998</v>
      </c>
      <c r="M271" s="31">
        <f>IFERROR(_xlfn.XLOOKUP(G271,产品资料!C:C,产品资料!L:L)*J271,0)</f>
        <v>348.43199999999996</v>
      </c>
      <c r="N271">
        <f>IFERROR(_xlfn.XLOOKUP(G271,产品资料!C:C,产品资料!M:M)*J271,0)</f>
        <v>1088</v>
      </c>
      <c r="O271" s="51" t="s">
        <v>293</v>
      </c>
      <c r="P271" s="23">
        <f>IF(ISNUMBER(SEARCH("合包",R271)),SUMIFS(J:J,G:G,G:G,F:F,F:F)-SUMIFS(打包记录!J:J,打包记录!G:G,G:G,打包记录!F:F,F:F),SUMIFS(J:J,D:D,D:D,G:G,G:G,F:F,F:F)-SUMIFS(打包记录!J:J,打包记录!D:D,D:D,打包记录!G:G,G:G,打包记录!F:F,F:F))</f>
        <v>3</v>
      </c>
      <c r="Q271">
        <v>8</v>
      </c>
      <c r="R271" t="s">
        <v>166</v>
      </c>
    </row>
    <row r="272" spans="1:18" ht="14.25" customHeight="1" x14ac:dyDescent="0.15">
      <c r="A272">
        <v>268</v>
      </c>
      <c r="B272" s="21">
        <v>46273</v>
      </c>
      <c r="C272" t="s">
        <v>189</v>
      </c>
      <c r="D272" s="24" t="s">
        <v>182</v>
      </c>
      <c r="E272" t="s">
        <v>290</v>
      </c>
      <c r="F272">
        <v>39407267</v>
      </c>
      <c r="G272" t="s">
        <v>70</v>
      </c>
      <c r="H272" t="str">
        <f>_xlfn.XLOOKUP(G272,产品资料!C:C,产品资料!E:E)</f>
        <v>4609中隔内垫板(0.8MM)</v>
      </c>
      <c r="I272" s="23" t="str">
        <f>_xlfn.XLOOKUP(G272,产品资料!C:C,产品资料!F:F)</f>
        <v>0.8*112*550</v>
      </c>
      <c r="J272">
        <f>17*Q272-K272</f>
        <v>340</v>
      </c>
      <c r="L272" s="28">
        <f>_xlfn.XLOOKUP(G272,产品资料!C:C,产品资料!O:O)*J272</f>
        <v>131.186688</v>
      </c>
      <c r="M272" s="31">
        <f>IFERROR(_xlfn.XLOOKUP(G272,产品资料!C:C,产品资料!L:L)*J272,0)</f>
        <v>450.5</v>
      </c>
      <c r="N272">
        <f>IFERROR(_xlfn.XLOOKUP(G272,产品资料!C:C,产品资料!M:M)*J272,0)</f>
        <v>1700</v>
      </c>
      <c r="O272" s="51"/>
      <c r="P272" s="23">
        <f>IF(ISNUMBER(SEARCH("合包",R272)),SUMIFS(J:J,G:G,G:G,F:F,F:F)-SUMIFS(打包记录!J:J,打包记录!G:G,G:G,打包记录!F:F,F:F),SUMIFS(J:J,D:D,D:D,G:G,G:G,F:F,F:F)-SUMIFS(打包记录!J:J,打包记录!D:D,D:D,打包记录!G:G,G:G,打包记录!F:F,F:F))</f>
        <v>2</v>
      </c>
      <c r="Q272">
        <v>20</v>
      </c>
    </row>
    <row r="273" spans="1:18" ht="14.25" customHeight="1" x14ac:dyDescent="0.15">
      <c r="A273">
        <v>269</v>
      </c>
      <c r="B273" s="21">
        <v>46273</v>
      </c>
      <c r="C273" t="s">
        <v>189</v>
      </c>
      <c r="D273" s="24" t="s">
        <v>182</v>
      </c>
      <c r="E273" t="s">
        <v>290</v>
      </c>
      <c r="F273">
        <v>39407267</v>
      </c>
      <c r="G273" t="s">
        <v>75</v>
      </c>
      <c r="H273" t="str">
        <f>_xlfn.XLOOKUP(G273,产品资料!C:C,产品资料!E:E)</f>
        <v>4609中隔内垫板大槽(0.8MM)</v>
      </c>
      <c r="I273" s="23" t="str">
        <f>_xlfn.XLOOKUP(G273,产品资料!C:C,产品资料!F:F)</f>
        <v>0.8*137*550</v>
      </c>
      <c r="J273">
        <f>17*Q273-K273</f>
        <v>272</v>
      </c>
      <c r="L273" s="28">
        <f>_xlfn.XLOOKUP(G273,产品资料!C:C,产品资料!O:O)*J273</f>
        <v>128.59028479999998</v>
      </c>
      <c r="M273" s="31">
        <f>IFERROR(_xlfn.XLOOKUP(G273,产品资料!C:C,产品资料!L:L)*J273,0)</f>
        <v>373.72800000000001</v>
      </c>
      <c r="N273">
        <f>IFERROR(_xlfn.XLOOKUP(G273,产品资料!C:C,产品资料!M:M)*J273,0)</f>
        <v>1360</v>
      </c>
      <c r="O273" s="51"/>
      <c r="P273" s="23">
        <f>IF(ISNUMBER(SEARCH("合包",R273)),SUMIFS(J:J,G:G,G:G,F:F,F:F)-SUMIFS(打包记录!J:J,打包记录!G:G,G:G,打包记录!F:F,F:F),SUMIFS(J:J,D:D,D:D,G:G,G:G,F:F,F:F)-SUMIFS(打包记录!J:J,打包记录!D:D,D:D,打包记录!G:G,G:G,打包记录!F:F,F:F))</f>
        <v>2</v>
      </c>
      <c r="Q273">
        <v>16</v>
      </c>
    </row>
    <row r="274" spans="1:18" ht="14.25" customHeight="1" x14ac:dyDescent="0.15">
      <c r="A274">
        <v>270</v>
      </c>
      <c r="B274" s="21">
        <v>46273</v>
      </c>
      <c r="C274" t="s">
        <v>189</v>
      </c>
      <c r="D274" s="24" t="s">
        <v>182</v>
      </c>
      <c r="E274" t="s">
        <v>290</v>
      </c>
      <c r="F274">
        <v>39407267</v>
      </c>
      <c r="G274" t="s">
        <v>100</v>
      </c>
      <c r="H274" t="str">
        <f>_xlfn.XLOOKUP(G274,产品资料!C:C,产品资料!E:E)</f>
        <v>4609小抽斗(0.8MM)</v>
      </c>
      <c r="I274" s="23" t="str">
        <f>_xlfn.XLOOKUP(G274,产品资料!C:C,产品资料!F:F)</f>
        <v>0.8*418*603</v>
      </c>
      <c r="J274">
        <f>17*Q274-K274</f>
        <v>476</v>
      </c>
      <c r="L274" s="28">
        <f>_xlfn.XLOOKUP(G274,产品资料!C:C,产品资料!O:O)*J274</f>
        <v>748.57549759999984</v>
      </c>
      <c r="M274" s="31">
        <f>IFERROR(_xlfn.XLOOKUP(G274,产品资料!C:C,产品资料!L:L)*J274,0)</f>
        <v>994.36400000000003</v>
      </c>
      <c r="N274">
        <f>IFERROR(_xlfn.XLOOKUP(G274,产品资料!C:C,产品资料!M:M)*J274,0)</f>
        <v>5712</v>
      </c>
      <c r="O274" s="51"/>
      <c r="P274" s="23">
        <f>IF(ISNUMBER(SEARCH("合包",R274)),SUMIFS(J:J,G:G,G:G,F:F,F:F)-SUMIFS(打包记录!J:J,打包记录!G:G,G:G,打包记录!F:F,F:F),SUMIFS(J:J,D:D,D:D,G:G,G:G,F:F,F:F)-SUMIFS(打包记录!J:J,打包记录!D:D,D:D,打包记录!G:G,G:G,打包记录!F:F,F:F))</f>
        <v>3</v>
      </c>
      <c r="Q274">
        <v>28</v>
      </c>
    </row>
    <row r="275" spans="1:18" ht="14.25" customHeight="1" x14ac:dyDescent="0.15">
      <c r="A275">
        <v>271</v>
      </c>
      <c r="B275" s="21">
        <v>46273</v>
      </c>
      <c r="C275" t="s">
        <v>189</v>
      </c>
      <c r="D275" s="24" t="s">
        <v>182</v>
      </c>
      <c r="E275" t="s">
        <v>290</v>
      </c>
      <c r="F275">
        <v>39407267</v>
      </c>
      <c r="G275" t="s">
        <v>125</v>
      </c>
      <c r="H275" t="str">
        <f>_xlfn.XLOOKUP(G275,产品资料!C:C,产品资料!E:E)</f>
        <v>4609大拉手(0.8MM）</v>
      </c>
      <c r="I275" s="23" t="str">
        <f>_xlfn.XLOOKUP(G275,产品资料!C:C,产品资料!F:F)</f>
        <v>0.8*303*515</v>
      </c>
      <c r="J275">
        <f>17*Q275-K275</f>
        <v>408</v>
      </c>
      <c r="L275" s="28">
        <f>_xlfn.XLOOKUP(G275,产品资料!C:C,产品资料!O:O)*J275</f>
        <v>398.94076799999999</v>
      </c>
      <c r="M275" s="31">
        <f>IFERROR(_xlfn.XLOOKUP(G275,产品资料!C:C,产品资料!L:L)*J275,0)</f>
        <v>665.04</v>
      </c>
      <c r="N275">
        <f>IFERROR(_xlfn.XLOOKUP(G275,产品资料!C:C,产品资料!M:M)*J275,0)</f>
        <v>0</v>
      </c>
      <c r="O275" s="51"/>
      <c r="P275" s="23">
        <f>IF(ISNUMBER(SEARCH("合包",R275)),SUMIFS(J:J,G:G,G:G,F:F,F:F)-SUMIFS(打包记录!J:J,打包记录!G:G,G:G,打包记录!F:F,F:F),SUMIFS(J:J,D:D,D:D,G:G,G:G,F:F,F:F)-SUMIFS(打包记录!J:J,打包记录!D:D,D:D,打包记录!G:G,G:G,打包记录!F:F,F:F))</f>
        <v>3</v>
      </c>
      <c r="Q275">
        <v>24</v>
      </c>
    </row>
    <row r="276" spans="1:18" ht="14.25" customHeight="1" x14ac:dyDescent="0.15">
      <c r="A276">
        <v>272</v>
      </c>
      <c r="B276" s="21">
        <v>46273</v>
      </c>
      <c r="C276" t="s">
        <v>189</v>
      </c>
      <c r="D276" s="24" t="s">
        <v>182</v>
      </c>
      <c r="E276" t="s">
        <v>290</v>
      </c>
      <c r="F276">
        <v>39407267</v>
      </c>
      <c r="G276" t="s">
        <v>70</v>
      </c>
      <c r="H276" t="str">
        <f>_xlfn.XLOOKUP(G276,产品资料!C:C,产品资料!E:E)</f>
        <v>4609中隔内垫板(0.8MM)</v>
      </c>
      <c r="I276" s="23" t="str">
        <f>_xlfn.XLOOKUP(G276,产品资料!C:C,产品资料!F:F)</f>
        <v>0.8*112*550</v>
      </c>
      <c r="J276">
        <f>9.25*Q276-K276</f>
        <v>147</v>
      </c>
      <c r="K276">
        <v>1</v>
      </c>
      <c r="L276" s="28">
        <f>_xlfn.XLOOKUP(G276,产品资料!C:C,产品资料!O:O)*J276</f>
        <v>56.718950399999997</v>
      </c>
      <c r="M276" s="31">
        <f>IFERROR(_xlfn.XLOOKUP(G276,产品资料!C:C,产品资料!L:L)*J276,0)</f>
        <v>194.77500000000001</v>
      </c>
      <c r="N276">
        <f>IFERROR(_xlfn.XLOOKUP(G276,产品资料!C:C,产品资料!M:M)*J276,0)</f>
        <v>735</v>
      </c>
      <c r="O276" s="50" t="s">
        <v>294</v>
      </c>
      <c r="P276" s="23">
        <f>IF(ISNUMBER(SEARCH("合包",R276)),SUMIFS(J:J,G:G,G:G,F:F,F:F)-SUMIFS(打包记录!J:J,打包记录!G:G,G:G,打包记录!F:F,F:F),SUMIFS(J:J,D:D,D:D,G:G,G:G,F:F,F:F)-SUMIFS(打包记录!J:J,打包记录!D:D,D:D,打包记录!G:G,G:G,打包记录!F:F,F:F))</f>
        <v>2</v>
      </c>
      <c r="Q276">
        <v>16</v>
      </c>
    </row>
    <row r="277" spans="1:18" ht="14.25" customHeight="1" x14ac:dyDescent="0.15">
      <c r="A277">
        <v>273</v>
      </c>
      <c r="B277" s="21">
        <v>46273</v>
      </c>
      <c r="C277" t="s">
        <v>189</v>
      </c>
      <c r="D277" s="24" t="s">
        <v>182</v>
      </c>
      <c r="E277" t="s">
        <v>290</v>
      </c>
      <c r="F277">
        <v>39407267</v>
      </c>
      <c r="G277" t="s">
        <v>100</v>
      </c>
      <c r="H277" t="str">
        <f>_xlfn.XLOOKUP(G277,产品资料!C:C,产品资料!E:E)</f>
        <v>4609小抽斗(0.8MM)</v>
      </c>
      <c r="I277" s="23" t="str">
        <f>_xlfn.XLOOKUP(G277,产品资料!C:C,产品资料!F:F)</f>
        <v>0.8*418*603</v>
      </c>
      <c r="J277">
        <f t="shared" ref="J277:J280" si="30">9.25*Q277-K277</f>
        <v>185</v>
      </c>
      <c r="L277" s="28">
        <f>_xlfn.XLOOKUP(G277,产品资料!C:C,产品资料!O:O)*J277</f>
        <v>290.93795599999993</v>
      </c>
      <c r="M277" s="31">
        <f>IFERROR(_xlfn.XLOOKUP(G277,产品资料!C:C,产品资料!L:L)*J277,0)</f>
        <v>386.46499999999997</v>
      </c>
      <c r="N277">
        <f>IFERROR(_xlfn.XLOOKUP(G277,产品资料!C:C,产品资料!M:M)*J277,0)</f>
        <v>2220</v>
      </c>
      <c r="O277" s="51"/>
      <c r="P277" s="23">
        <f>IF(ISNUMBER(SEARCH("合包",R277)),SUMIFS(J:J,G:G,G:G,F:F,F:F)-SUMIFS(打包记录!J:J,打包记录!G:G,G:G,打包记录!F:F,F:F),SUMIFS(J:J,D:D,D:D,G:G,G:G,F:F,F:F)-SUMIFS(打包记录!J:J,打包记录!D:D,D:D,打包记录!G:G,G:G,打包记录!F:F,F:F))</f>
        <v>3</v>
      </c>
      <c r="Q277">
        <v>20</v>
      </c>
    </row>
    <row r="278" spans="1:18" ht="14.25" customHeight="1" x14ac:dyDescent="0.15">
      <c r="A278">
        <v>274</v>
      </c>
      <c r="B278" s="21">
        <v>46273</v>
      </c>
      <c r="C278" t="s">
        <v>189</v>
      </c>
      <c r="D278" s="24" t="s">
        <v>182</v>
      </c>
      <c r="E278" t="s">
        <v>290</v>
      </c>
      <c r="F278">
        <v>39407267</v>
      </c>
      <c r="G278" t="s">
        <v>105</v>
      </c>
      <c r="H278" t="str">
        <f>_xlfn.XLOOKUP(G278,产品资料!C:C,产品资料!E:E)</f>
        <v>4609小拉手(0.8MM）</v>
      </c>
      <c r="I278" s="23" t="str">
        <f>_xlfn.XLOOKUP(G278,产品资料!C:C,产品资料!F:F)</f>
        <v>0.8*142*515</v>
      </c>
      <c r="J278">
        <f t="shared" si="30"/>
        <v>294</v>
      </c>
      <c r="K278">
        <v>2</v>
      </c>
      <c r="L278" s="28">
        <f>_xlfn.XLOOKUP(G278,产品资料!C:C,产品资料!O:O)*J278</f>
        <v>134.39363279999998</v>
      </c>
      <c r="M278" s="31">
        <f>IFERROR(_xlfn.XLOOKUP(G278,产品资料!C:C,产品资料!L:L)*J278,0)</f>
        <v>384.55200000000002</v>
      </c>
      <c r="N278">
        <f>IFERROR(_xlfn.XLOOKUP(G278,产品资料!C:C,产品资料!M:M)*J278,0)</f>
        <v>0</v>
      </c>
      <c r="O278" s="51"/>
      <c r="P278" s="23">
        <f>IF(ISNUMBER(SEARCH("合包",R278)),SUMIFS(J:J,G:G,G:G,F:F,F:F)-SUMIFS(打包记录!J:J,打包记录!G:G,G:G,打包记录!F:F,F:F),SUMIFS(J:J,D:D,D:D,G:G,G:G,F:F,F:F)-SUMIFS(打包记录!J:J,打包记录!D:D,D:D,打包记录!G:G,G:G,打包记录!F:F,F:F))</f>
        <v>4</v>
      </c>
      <c r="Q278">
        <v>32</v>
      </c>
    </row>
    <row r="279" spans="1:18" ht="14.25" customHeight="1" x14ac:dyDescent="0.15">
      <c r="A279">
        <v>275</v>
      </c>
      <c r="B279" s="21">
        <v>46273</v>
      </c>
      <c r="C279" t="s">
        <v>189</v>
      </c>
      <c r="D279" s="24" t="s">
        <v>182</v>
      </c>
      <c r="E279" t="s">
        <v>290</v>
      </c>
      <c r="F279">
        <v>39407267</v>
      </c>
      <c r="G279" t="s">
        <v>110</v>
      </c>
      <c r="H279" t="str">
        <f>_xlfn.XLOOKUP(G279,产品资料!C:C,产品资料!E:E)</f>
        <v>4609中抽斗(0.8MM)</v>
      </c>
      <c r="I279" s="23" t="str">
        <f>_xlfn.XLOOKUP(G279,产品资料!C:C,产品资料!F:F)</f>
        <v>0.8*418*639</v>
      </c>
      <c r="J279">
        <f t="shared" si="30"/>
        <v>37</v>
      </c>
      <c r="L279" s="28">
        <f>_xlfn.XLOOKUP(G279,产品资料!C:C,产品资料!O:O)*J279</f>
        <v>61.684609199999997</v>
      </c>
      <c r="M279" s="31">
        <f>IFERROR(_xlfn.XLOOKUP(G279,产品资料!C:C,产品资料!L:L)*J279,0)</f>
        <v>79.957000000000008</v>
      </c>
      <c r="N279">
        <f>IFERROR(_xlfn.XLOOKUP(G279,产品资料!C:C,产品资料!M:M)*J279,0)</f>
        <v>444</v>
      </c>
      <c r="O279" s="51"/>
      <c r="P279" s="23">
        <f>IF(ISNUMBER(SEARCH("合包",R279)),SUMIFS(J:J,G:G,G:G,F:F,F:F)-SUMIFS(打包记录!J:J,打包记录!G:G,G:G,打包记录!F:F,F:F),SUMIFS(J:J,D:D,D:D,G:G,G:G,F:F,F:F)-SUMIFS(打包记录!J:J,打包记录!D:D,D:D,打包记录!G:G,G:G,打包记录!F:F,F:F))</f>
        <v>2</v>
      </c>
      <c r="Q279">
        <v>4</v>
      </c>
    </row>
    <row r="280" spans="1:18" ht="14.25" customHeight="1" x14ac:dyDescent="0.15">
      <c r="A280">
        <v>276</v>
      </c>
      <c r="B280" s="21">
        <v>46273</v>
      </c>
      <c r="C280" t="s">
        <v>189</v>
      </c>
      <c r="D280" s="24" t="s">
        <v>182</v>
      </c>
      <c r="E280" t="s">
        <v>290</v>
      </c>
      <c r="F280">
        <v>39407267</v>
      </c>
      <c r="G280" t="s">
        <v>120</v>
      </c>
      <c r="H280" t="str">
        <f>_xlfn.XLOOKUP(G280,产品资料!C:C,产品资料!E:E)</f>
        <v>4609大抽斗(0.8MM)</v>
      </c>
      <c r="I280" s="23" t="str">
        <f>_xlfn.XLOOKUP(G280,产品资料!C:C,产品资料!F:F)</f>
        <v>0.8*418*919</v>
      </c>
      <c r="J280">
        <f t="shared" si="30"/>
        <v>73</v>
      </c>
      <c r="K280">
        <v>1</v>
      </c>
      <c r="L280" s="28">
        <f>_xlfn.XLOOKUP(G280,产品资料!C:C,产品资料!O:O)*J280</f>
        <v>175.31662479999997</v>
      </c>
      <c r="M280" s="31">
        <f>IFERROR(_xlfn.XLOOKUP(G280,产品资料!C:C,产品资料!L:L)*J280,0)</f>
        <v>198.63300000000001</v>
      </c>
      <c r="N280">
        <f>IFERROR(_xlfn.XLOOKUP(G280,产品资料!C:C,产品资料!M:M)*J280,0)</f>
        <v>1314</v>
      </c>
      <c r="O280" s="51"/>
      <c r="P280" s="23">
        <f>IF(ISNUMBER(SEARCH("合包",R280)),SUMIFS(J:J,G:G,G:G,F:F,F:F)-SUMIFS(打包记录!J:J,打包记录!G:G,G:G,打包记录!F:F,F:F),SUMIFS(J:J,D:D,D:D,G:G,G:G,F:F,F:F)-SUMIFS(打包记录!J:J,打包记录!D:D,D:D,打包记录!G:G,G:G,打包记录!F:F,F:F))</f>
        <v>2</v>
      </c>
      <c r="Q280">
        <v>8</v>
      </c>
    </row>
    <row r="281" spans="1:18" ht="14.25" customHeight="1" x14ac:dyDescent="0.15">
      <c r="A281">
        <v>277</v>
      </c>
      <c r="B281" s="21">
        <v>46273</v>
      </c>
      <c r="C281" t="s">
        <v>189</v>
      </c>
      <c r="D281" s="24" t="s">
        <v>182</v>
      </c>
      <c r="E281" t="s">
        <v>290</v>
      </c>
      <c r="F281">
        <v>39407267</v>
      </c>
      <c r="G281" t="s">
        <v>19</v>
      </c>
      <c r="H281" t="str">
        <f>_xlfn.XLOOKUP(G281,产品资料!C:C,产品资料!E:E)</f>
        <v xml:space="preserve">4609底盖小加强板（0.8MM ) </v>
      </c>
      <c r="I281" s="23" t="str">
        <f>_xlfn.XLOOKUP(G281,产品资料!C:C,产品资料!F:F)</f>
        <v>0.8*119*1162</v>
      </c>
      <c r="J281">
        <f>8.25*Q281-K281</f>
        <v>114</v>
      </c>
      <c r="K281">
        <v>18</v>
      </c>
      <c r="L281" s="28">
        <f>_xlfn.XLOOKUP(G281,产品资料!C:C,产品资料!O:O)*J281</f>
        <v>98.023766399999985</v>
      </c>
      <c r="M281" s="31">
        <f>IFERROR(_xlfn.XLOOKUP(G281,产品资料!C:C,产品资料!L:L)*J281,0)</f>
        <v>292.06799999999998</v>
      </c>
      <c r="N281">
        <f>IFERROR(_xlfn.XLOOKUP(G281,产品资料!C:C,产品资料!M:M)*J281,0)</f>
        <v>912</v>
      </c>
      <c r="O281" s="50" t="s">
        <v>295</v>
      </c>
      <c r="P281" s="23">
        <f>IF(ISNUMBER(SEARCH("合包",R281)),SUMIFS(J:J,G:G,G:G,F:F,F:F)-SUMIFS(打包记录!J:J,打包记录!G:G,G:G,打包记录!F:F,F:F),SUMIFS(J:J,D:D,D:D,G:G,G:G,F:F,F:F)-SUMIFS(打包记录!J:J,打包记录!D:D,D:D,打包记录!G:G,G:G,打包记录!F:F,F:F))</f>
        <v>3</v>
      </c>
      <c r="Q281">
        <v>16</v>
      </c>
      <c r="R281" t="s">
        <v>166</v>
      </c>
    </row>
    <row r="282" spans="1:18" ht="14.25" customHeight="1" x14ac:dyDescent="0.15">
      <c r="A282">
        <v>278</v>
      </c>
      <c r="B282" s="21">
        <v>46273</v>
      </c>
      <c r="C282" t="s">
        <v>189</v>
      </c>
      <c r="D282" s="24" t="s">
        <v>182</v>
      </c>
      <c r="E282" t="s">
        <v>290</v>
      </c>
      <c r="F282">
        <v>39407267</v>
      </c>
      <c r="G282" t="s">
        <v>55</v>
      </c>
      <c r="H282" t="str">
        <f>_xlfn.XLOOKUP(G282,产品资料!C:C,产品资料!E:E)</f>
        <v>4609左内垫板(0.8MM)</v>
      </c>
      <c r="I282" s="23" t="str">
        <f>_xlfn.XLOOKUP(G282,产品资料!C:C,产品资料!F:F)</f>
        <v>0.8*152*662</v>
      </c>
      <c r="J282">
        <f t="shared" ref="J282:J284" si="31">8.25*Q282-K282</f>
        <v>66</v>
      </c>
      <c r="L282" s="28">
        <f>_xlfn.XLOOKUP(G282,产品资料!C:C,产品资料!O:O)*J282</f>
        <v>40.660488000000001</v>
      </c>
      <c r="M282" s="31">
        <f>IFERROR(_xlfn.XLOOKUP(G282,产品资料!C:C,产品资料!L:L)*J282,0)</f>
        <v>117.21600000000001</v>
      </c>
      <c r="N282">
        <f>IFERROR(_xlfn.XLOOKUP(G282,产品资料!C:C,产品资料!M:M)*J282,0)</f>
        <v>396</v>
      </c>
      <c r="O282" s="51"/>
      <c r="P282" s="23">
        <f>IF(ISNUMBER(SEARCH("合包",R282)),SUMIFS(J:J,G:G,G:G,F:F,F:F)-SUMIFS(打包记录!J:J,打包记录!G:G,G:G,打包记录!F:F,F:F),SUMIFS(J:J,D:D,D:D,G:G,G:G,F:F,F:F)-SUMIFS(打包记录!J:J,打包记录!D:D,D:D,打包记录!G:G,G:G,打包记录!F:F,F:F))</f>
        <v>4</v>
      </c>
      <c r="Q282">
        <v>8</v>
      </c>
    </row>
    <row r="283" spans="1:18" ht="14.25" customHeight="1" x14ac:dyDescent="0.15">
      <c r="A283">
        <v>279</v>
      </c>
      <c r="B283" s="21">
        <v>46273</v>
      </c>
      <c r="C283" t="s">
        <v>189</v>
      </c>
      <c r="D283" s="24" t="s">
        <v>182</v>
      </c>
      <c r="E283" t="s">
        <v>290</v>
      </c>
      <c r="F283">
        <v>39407267</v>
      </c>
      <c r="G283" t="s">
        <v>100</v>
      </c>
      <c r="H283" t="str">
        <f>_xlfn.XLOOKUP(G283,产品资料!C:C,产品资料!E:E)</f>
        <v>4609小抽斗(0.8MM)</v>
      </c>
      <c r="I283" s="23" t="str">
        <f>_xlfn.XLOOKUP(G283,产品资料!C:C,产品资料!F:F)</f>
        <v>0.8*418*603</v>
      </c>
      <c r="J283">
        <f t="shared" si="31"/>
        <v>198</v>
      </c>
      <c r="L283" s="28">
        <f>_xlfn.XLOOKUP(G283,产品资料!C:C,产品资料!O:O)*J283</f>
        <v>311.38224479999997</v>
      </c>
      <c r="M283" s="31">
        <f>IFERROR(_xlfn.XLOOKUP(G283,产品资料!C:C,产品资料!L:L)*J283,0)</f>
        <v>413.62200000000001</v>
      </c>
      <c r="N283">
        <f>IFERROR(_xlfn.XLOOKUP(G283,产品资料!C:C,产品资料!M:M)*J283,0)</f>
        <v>2376</v>
      </c>
      <c r="O283" s="51"/>
      <c r="P283" s="23">
        <f>IF(ISNUMBER(SEARCH("合包",R283)),SUMIFS(J:J,G:G,G:G,F:F,F:F)-SUMIFS(打包记录!J:J,打包记录!G:G,G:G,打包记录!F:F,F:F),SUMIFS(J:J,D:D,D:D,G:G,G:G,F:F,F:F)-SUMIFS(打包记录!J:J,打包记录!D:D,D:D,打包记录!G:G,G:G,打包记录!F:F,F:F))</f>
        <v>3</v>
      </c>
      <c r="Q283">
        <v>24</v>
      </c>
    </row>
    <row r="284" spans="1:18" ht="14.25" customHeight="1" x14ac:dyDescent="0.15">
      <c r="A284">
        <v>280</v>
      </c>
      <c r="B284" s="21">
        <v>46273</v>
      </c>
      <c r="C284" t="s">
        <v>189</v>
      </c>
      <c r="D284" s="24" t="s">
        <v>182</v>
      </c>
      <c r="E284" t="s">
        <v>290</v>
      </c>
      <c r="F284">
        <v>39407267</v>
      </c>
      <c r="G284" t="s">
        <v>105</v>
      </c>
      <c r="H284" t="str">
        <f>_xlfn.XLOOKUP(G284,产品资料!C:C,产品资料!E:E)</f>
        <v>4609小拉手(0.8MM）</v>
      </c>
      <c r="I284" s="23" t="str">
        <f>_xlfn.XLOOKUP(G284,产品资料!C:C,产品资料!F:F)</f>
        <v>0.8*142*515</v>
      </c>
      <c r="J284">
        <f t="shared" si="31"/>
        <v>264</v>
      </c>
      <c r="L284" s="28">
        <f>_xlfn.XLOOKUP(G284,产品资料!C:C,产品资料!O:O)*J284</f>
        <v>120.67999679999998</v>
      </c>
      <c r="M284" s="31">
        <f>IFERROR(_xlfn.XLOOKUP(G284,产品资料!C:C,产品资料!L:L)*J284,0)</f>
        <v>345.31200000000001</v>
      </c>
      <c r="N284">
        <f>IFERROR(_xlfn.XLOOKUP(G284,产品资料!C:C,产品资料!M:M)*J284,0)</f>
        <v>0</v>
      </c>
      <c r="O284" s="51"/>
      <c r="P284" s="23">
        <f>IF(ISNUMBER(SEARCH("合包",R284)),SUMIFS(J:J,G:G,G:G,F:F,F:F)-SUMIFS(打包记录!J:J,打包记录!G:G,G:G,打包记录!F:F,F:F),SUMIFS(J:J,D:D,D:D,G:G,G:G,F:F,F:F)-SUMIFS(打包记录!J:J,打包记录!D:D,D:D,打包记录!G:G,G:G,打包记录!F:F,F:F))</f>
        <v>4</v>
      </c>
      <c r="Q284">
        <v>32</v>
      </c>
    </row>
    <row r="285" spans="1:18" ht="14.25" customHeight="1" x14ac:dyDescent="0.15">
      <c r="A285">
        <v>281</v>
      </c>
      <c r="B285" s="21">
        <v>46273</v>
      </c>
      <c r="C285" t="s">
        <v>189</v>
      </c>
      <c r="D285" s="24" t="s">
        <v>182</v>
      </c>
      <c r="E285" t="s">
        <v>290</v>
      </c>
      <c r="F285">
        <v>39407267</v>
      </c>
      <c r="G285" t="s">
        <v>19</v>
      </c>
      <c r="H285" t="str">
        <f>_xlfn.XLOOKUP(G285,产品资料!C:C,产品资料!E:E)</f>
        <v xml:space="preserve">4609底盖小加强板（0.8MM ) </v>
      </c>
      <c r="I285" s="23" t="str">
        <f>_xlfn.XLOOKUP(G285,产品资料!C:C,产品资料!F:F)</f>
        <v>0.8*119*1162</v>
      </c>
      <c r="J285">
        <f>19.25*Q285-K285</f>
        <v>308</v>
      </c>
      <c r="L285" s="28">
        <f>_xlfn.XLOOKUP(G285,产品资料!C:C,产品资料!O:O)*J285</f>
        <v>264.83614079999995</v>
      </c>
      <c r="M285" s="31">
        <f>IFERROR(_xlfn.XLOOKUP(G285,产品资料!C:C,产品资料!L:L)*J285,0)</f>
        <v>789.096</v>
      </c>
      <c r="N285">
        <f>IFERROR(_xlfn.XLOOKUP(G285,产品资料!C:C,产品资料!M:M)*J285,0)</f>
        <v>2464</v>
      </c>
      <c r="O285" s="50" t="s">
        <v>296</v>
      </c>
      <c r="P285" s="23">
        <f>IF(ISNUMBER(SEARCH("合包",R285)),SUMIFS(J:J,G:G,G:G,F:F,F:F)-SUMIFS(打包记录!J:J,打包记录!G:G,G:G,打包记录!F:F,F:F),SUMIFS(J:J,D:D,D:D,G:G,G:G,F:F,F:F)-SUMIFS(打包记录!J:J,打包记录!D:D,D:D,打包记录!G:G,G:G,打包记录!F:F,F:F))</f>
        <v>3</v>
      </c>
      <c r="Q285">
        <v>16</v>
      </c>
      <c r="R285" t="s">
        <v>166</v>
      </c>
    </row>
    <row r="286" spans="1:18" ht="14.25" customHeight="1" x14ac:dyDescent="0.15">
      <c r="A286">
        <v>282</v>
      </c>
      <c r="B286" s="21">
        <v>46273</v>
      </c>
      <c r="C286" t="s">
        <v>189</v>
      </c>
      <c r="D286" s="24" t="s">
        <v>182</v>
      </c>
      <c r="E286" t="s">
        <v>290</v>
      </c>
      <c r="F286">
        <v>39407267</v>
      </c>
      <c r="G286" t="s">
        <v>55</v>
      </c>
      <c r="H286" t="str">
        <f>_xlfn.XLOOKUP(G286,产品资料!C:C,产品资料!E:E)</f>
        <v>4609左内垫板(0.8MM)</v>
      </c>
      <c r="I286" s="23" t="str">
        <f>_xlfn.XLOOKUP(G286,产品资料!C:C,产品资料!F:F)</f>
        <v>0.8*152*662</v>
      </c>
      <c r="J286">
        <f t="shared" ref="J286:J289" si="32">19.25*Q286-K286</f>
        <v>385</v>
      </c>
      <c r="L286" s="28">
        <f>_xlfn.XLOOKUP(G286,产品资料!C:C,产品资料!O:O)*J286</f>
        <v>237.18618000000004</v>
      </c>
      <c r="M286" s="31">
        <f>IFERROR(_xlfn.XLOOKUP(G286,产品资料!C:C,产品资料!L:L)*J286,0)</f>
        <v>683.76</v>
      </c>
      <c r="N286">
        <f>IFERROR(_xlfn.XLOOKUP(G286,产品资料!C:C,产品资料!M:M)*J286,0)</f>
        <v>2310</v>
      </c>
      <c r="O286" s="51"/>
      <c r="P286" s="23">
        <f>IF(ISNUMBER(SEARCH("合包",R286)),SUMIFS(J:J,G:G,G:G,F:F,F:F)-SUMIFS(打包记录!J:J,打包记录!G:G,G:G,打包记录!F:F,F:F),SUMIFS(J:J,D:D,D:D,G:G,G:G,F:F,F:F)-SUMIFS(打包记录!J:J,打包记录!D:D,D:D,打包记录!G:G,G:G,打包记录!F:F,F:F))</f>
        <v>4</v>
      </c>
      <c r="Q286">
        <v>20</v>
      </c>
    </row>
    <row r="287" spans="1:18" ht="14.25" customHeight="1" x14ac:dyDescent="0.15">
      <c r="A287">
        <v>283</v>
      </c>
      <c r="B287" s="21">
        <v>46273</v>
      </c>
      <c r="C287" t="s">
        <v>189</v>
      </c>
      <c r="D287" s="24" t="s">
        <v>182</v>
      </c>
      <c r="E287" t="s">
        <v>290</v>
      </c>
      <c r="F287">
        <v>39407267</v>
      </c>
      <c r="G287" t="s">
        <v>60</v>
      </c>
      <c r="H287" t="str">
        <f>_xlfn.XLOOKUP(G287,产品资料!C:C,产品资料!E:E)</f>
        <v>4609后内垫板大槽(0.8MM)</v>
      </c>
      <c r="I287" s="23" t="str">
        <f>_xlfn.XLOOKUP(G287,产品资料!C:C,产品资料!F:F)</f>
        <v>0.8*145*754.5</v>
      </c>
      <c r="J287">
        <f t="shared" si="32"/>
        <v>154</v>
      </c>
      <c r="L287" s="28">
        <f>_xlfn.XLOOKUP(G287,产品资料!C:C,产品资料!O:O)*J287</f>
        <v>105.7255584</v>
      </c>
      <c r="M287" s="31">
        <f>IFERROR(_xlfn.XLOOKUP(G287,产品资料!C:C,产品资料!L:L)*J287,0)</f>
        <v>277.04599999999999</v>
      </c>
      <c r="N287">
        <f>IFERROR(_xlfn.XLOOKUP(G287,产品资料!C:C,产品资料!M:M)*J287,0)</f>
        <v>924</v>
      </c>
      <c r="O287" s="51"/>
      <c r="P287" s="23">
        <f>IF(ISNUMBER(SEARCH("合包",R287)),SUMIFS(J:J,G:G,G:G,F:F,F:F)-SUMIFS(打包记录!J:J,打包记录!G:G,G:G,打包记录!F:F,F:F),SUMIFS(J:J,D:D,D:D,G:G,G:G,F:F,F:F)-SUMIFS(打包记录!J:J,打包记录!D:D,D:D,打包记录!G:G,G:G,打包记录!F:F,F:F))</f>
        <v>4</v>
      </c>
      <c r="Q287">
        <v>8</v>
      </c>
    </row>
    <row r="288" spans="1:18" ht="14.25" customHeight="1" x14ac:dyDescent="0.15">
      <c r="A288">
        <v>284</v>
      </c>
      <c r="B288" s="21">
        <v>46273</v>
      </c>
      <c r="C288" t="s">
        <v>189</v>
      </c>
      <c r="D288" s="24" t="s">
        <v>182</v>
      </c>
      <c r="E288" t="s">
        <v>290</v>
      </c>
      <c r="F288">
        <v>39407267</v>
      </c>
      <c r="G288" t="s">
        <v>65</v>
      </c>
      <c r="H288" t="str">
        <f>_xlfn.XLOOKUP(G288,产品资料!C:C,产品资料!E:E)</f>
        <v>4609中隔板(0.8MM)</v>
      </c>
      <c r="I288" s="23" t="str">
        <f>_xlfn.XLOOKUP(G288,产品资料!C:C,产品资料!F:F)</f>
        <v>0.8*481.5*550</v>
      </c>
      <c r="J288">
        <f t="shared" si="32"/>
        <v>154</v>
      </c>
      <c r="L288" s="28">
        <f>_xlfn.XLOOKUP(G288,产品资料!C:C,产品资料!O:O)*J288</f>
        <v>255.67751440000001</v>
      </c>
      <c r="M288" s="31">
        <f>IFERROR(_xlfn.XLOOKUP(G288,产品资料!C:C,产品资料!L:L)*J288,0)</f>
        <v>317.702</v>
      </c>
      <c r="N288">
        <f>IFERROR(_xlfn.XLOOKUP(G288,产品资料!C:C,产品资料!M:M)*J288,0)</f>
        <v>2310</v>
      </c>
      <c r="O288" s="51"/>
      <c r="P288" s="23">
        <f>IF(ISNUMBER(SEARCH("合包",R288)),SUMIFS(J:J,G:G,G:G,F:F,F:F)-SUMIFS(打包记录!J:J,打包记录!G:G,G:G,打包记录!F:F,F:F),SUMIFS(J:J,D:D,D:D,G:G,G:G,F:F,F:F)-SUMIFS(打包记录!J:J,打包记录!D:D,D:D,打包记录!G:G,G:G,打包记录!F:F,F:F))</f>
        <v>2</v>
      </c>
      <c r="Q288">
        <v>8</v>
      </c>
      <c r="R288" t="s">
        <v>166</v>
      </c>
    </row>
    <row r="289" spans="1:18" ht="14.25" customHeight="1" x14ac:dyDescent="0.15">
      <c r="A289">
        <v>285</v>
      </c>
      <c r="B289" s="21">
        <v>46273</v>
      </c>
      <c r="C289" t="s">
        <v>189</v>
      </c>
      <c r="D289" s="24" t="s">
        <v>182</v>
      </c>
      <c r="E289" t="s">
        <v>290</v>
      </c>
      <c r="F289">
        <v>39407267</v>
      </c>
      <c r="G289" t="s">
        <v>100</v>
      </c>
      <c r="H289" t="str">
        <f>_xlfn.XLOOKUP(G289,产品资料!C:C,产品资料!E:E)</f>
        <v>4609小抽斗(0.8MM)</v>
      </c>
      <c r="I289" s="23" t="str">
        <f>_xlfn.XLOOKUP(G289,产品资料!C:C,产品资料!F:F)</f>
        <v>0.8*418*603</v>
      </c>
      <c r="J289">
        <f t="shared" si="32"/>
        <v>539</v>
      </c>
      <c r="L289" s="28">
        <f>_xlfn.XLOOKUP(G289,产品资料!C:C,产品资料!O:O)*J289</f>
        <v>847.65166639999984</v>
      </c>
      <c r="M289" s="31">
        <f>IFERROR(_xlfn.XLOOKUP(G289,产品资料!C:C,产品资料!L:L)*J289,0)</f>
        <v>1125.971</v>
      </c>
      <c r="N289">
        <f>IFERROR(_xlfn.XLOOKUP(G289,产品资料!C:C,产品资料!M:M)*J289,0)</f>
        <v>6468</v>
      </c>
      <c r="O289" s="51"/>
      <c r="P289" s="23">
        <f>IF(ISNUMBER(SEARCH("合包",R289)),SUMIFS(J:J,G:G,G:G,F:F,F:F)-SUMIFS(打包记录!J:J,打包记录!G:G,G:G,打包记录!F:F,F:F),SUMIFS(J:J,D:D,D:D,G:G,G:G,F:F,F:F)-SUMIFS(打包记录!J:J,打包记录!D:D,D:D,打包记录!G:G,G:G,打包记录!F:F,F:F))</f>
        <v>3</v>
      </c>
      <c r="Q289">
        <v>28</v>
      </c>
    </row>
    <row r="290" spans="1:18" ht="14.25" customHeight="1" x14ac:dyDescent="0.15">
      <c r="A290">
        <v>286</v>
      </c>
      <c r="B290" s="21">
        <v>46273</v>
      </c>
      <c r="C290" t="s">
        <v>189</v>
      </c>
      <c r="D290" s="24" t="s">
        <v>182</v>
      </c>
      <c r="E290" t="s">
        <v>290</v>
      </c>
      <c r="F290">
        <v>39407267</v>
      </c>
      <c r="G290" t="s">
        <v>55</v>
      </c>
      <c r="H290" t="str">
        <f>_xlfn.XLOOKUP(G290,产品资料!C:C,产品资料!E:E)</f>
        <v>4609左内垫板(0.8MM)</v>
      </c>
      <c r="I290" s="23" t="str">
        <f>_xlfn.XLOOKUP(G290,产品资料!C:C,产品资料!F:F)</f>
        <v>0.8*152*662</v>
      </c>
      <c r="J290">
        <f>5*Q290-K290</f>
        <v>20</v>
      </c>
      <c r="L290" s="28">
        <f>_xlfn.XLOOKUP(G290,产品资料!C:C,产品资料!O:O)*J290</f>
        <v>12.321360000000002</v>
      </c>
      <c r="M290" s="31">
        <f>IFERROR(_xlfn.XLOOKUP(G290,产品资料!C:C,产品资料!L:L)*J290,0)</f>
        <v>35.520000000000003</v>
      </c>
      <c r="N290">
        <f>IFERROR(_xlfn.XLOOKUP(G290,产品资料!C:C,产品资料!M:M)*J290,0)</f>
        <v>120</v>
      </c>
      <c r="O290" s="51" t="s">
        <v>297</v>
      </c>
      <c r="P290" s="23">
        <f>IF(ISNUMBER(SEARCH("合包",R290)),SUMIFS(J:J,G:G,G:G,F:F,F:F)-SUMIFS(打包记录!J:J,打包记录!G:G,G:G,打包记录!F:F,F:F),SUMIFS(J:J,D:D,D:D,G:G,G:G,F:F,F:F)-SUMIFS(打包记录!J:J,打包记录!D:D,D:D,打包记录!G:G,G:G,打包记录!F:F,F:F))</f>
        <v>4</v>
      </c>
      <c r="Q290">
        <v>4</v>
      </c>
    </row>
    <row r="291" spans="1:18" ht="14.25" customHeight="1" x14ac:dyDescent="0.15">
      <c r="A291">
        <v>287</v>
      </c>
      <c r="B291" s="21">
        <v>46273</v>
      </c>
      <c r="C291" t="s">
        <v>189</v>
      </c>
      <c r="D291" s="24" t="s">
        <v>182</v>
      </c>
      <c r="E291" t="s">
        <v>290</v>
      </c>
      <c r="F291">
        <v>39407267</v>
      </c>
      <c r="G291" t="s">
        <v>65</v>
      </c>
      <c r="H291" t="str">
        <f>_xlfn.XLOOKUP(G291,产品资料!C:C,产品资料!E:E)</f>
        <v>4609中隔板(0.8MM)</v>
      </c>
      <c r="I291" s="23" t="str">
        <f>_xlfn.XLOOKUP(G291,产品资料!C:C,产品资料!F:F)</f>
        <v>0.8*481.5*550</v>
      </c>
      <c r="J291">
        <f>5*Q291-K291</f>
        <v>40</v>
      </c>
      <c r="L291" s="28">
        <f>_xlfn.XLOOKUP(G291,产品资料!C:C,产品资料!O:O)*J291</f>
        <v>66.409744000000003</v>
      </c>
      <c r="M291" s="31">
        <f>IFERROR(_xlfn.XLOOKUP(G291,产品资料!C:C,产品资料!L:L)*J291,0)</f>
        <v>82.52000000000001</v>
      </c>
      <c r="N291">
        <f>IFERROR(_xlfn.XLOOKUP(G291,产品资料!C:C,产品资料!M:M)*J291,0)</f>
        <v>600</v>
      </c>
      <c r="O291" s="51"/>
      <c r="P291" s="23">
        <f>IF(ISNUMBER(SEARCH("合包",R291)),SUMIFS(J:J,G:G,G:G,F:F,F:F)-SUMIFS(打包记录!J:J,打包记录!G:G,G:G,打包记录!F:F,F:F),SUMIFS(J:J,D:D,D:D,G:G,G:G,F:F,F:F)-SUMIFS(打包记录!J:J,打包记录!D:D,D:D,打包记录!G:G,G:G,打包记录!F:F,F:F))</f>
        <v>2</v>
      </c>
      <c r="Q291">
        <v>8</v>
      </c>
      <c r="R291" t="s">
        <v>166</v>
      </c>
    </row>
    <row r="292" spans="1:18" ht="14.25" customHeight="1" x14ac:dyDescent="0.15">
      <c r="A292">
        <v>288</v>
      </c>
      <c r="B292" s="21">
        <v>46273</v>
      </c>
      <c r="C292" t="s">
        <v>189</v>
      </c>
      <c r="D292" s="24" t="s">
        <v>182</v>
      </c>
      <c r="E292" t="s">
        <v>290</v>
      </c>
      <c r="F292">
        <v>39407267</v>
      </c>
      <c r="G292" t="s">
        <v>70</v>
      </c>
      <c r="H292" t="str">
        <f>_xlfn.XLOOKUP(G292,产品资料!C:C,产品资料!E:E)</f>
        <v>4609中隔内垫板(0.8MM)</v>
      </c>
      <c r="I292" s="23" t="str">
        <f>_xlfn.XLOOKUP(G292,产品资料!C:C,产品资料!F:F)</f>
        <v>0.8*112*550</v>
      </c>
      <c r="J292">
        <f>5*Q292-K292</f>
        <v>80</v>
      </c>
      <c r="L292" s="28">
        <f>_xlfn.XLOOKUP(G292,产品资料!C:C,产品资料!O:O)*J292</f>
        <v>30.867456000000001</v>
      </c>
      <c r="M292" s="31">
        <f>IFERROR(_xlfn.XLOOKUP(G292,产品资料!C:C,产品资料!L:L)*J292,0)</f>
        <v>106</v>
      </c>
      <c r="N292">
        <f>IFERROR(_xlfn.XLOOKUP(G292,产品资料!C:C,产品资料!M:M)*J292,0)</f>
        <v>400</v>
      </c>
      <c r="O292" s="51"/>
      <c r="P292" s="23">
        <f>IF(ISNUMBER(SEARCH("合包",R292)),SUMIFS(J:J,G:G,G:G,F:F,F:F)-SUMIFS(打包记录!J:J,打包记录!G:G,G:G,打包记录!F:F,F:F),SUMIFS(J:J,D:D,D:D,G:G,G:G,F:F,F:F)-SUMIFS(打包记录!J:J,打包记录!D:D,D:D,打包记录!G:G,G:G,打包记录!F:F,F:F))</f>
        <v>2</v>
      </c>
      <c r="Q292">
        <v>16</v>
      </c>
    </row>
    <row r="293" spans="1:18" ht="14.25" customHeight="1" x14ac:dyDescent="0.15">
      <c r="A293">
        <v>289</v>
      </c>
      <c r="B293" s="21">
        <v>46273</v>
      </c>
      <c r="C293" t="s">
        <v>189</v>
      </c>
      <c r="D293" s="24" t="s">
        <v>182</v>
      </c>
      <c r="E293" t="s">
        <v>290</v>
      </c>
      <c r="F293">
        <v>39407267</v>
      </c>
      <c r="G293" t="s">
        <v>100</v>
      </c>
      <c r="H293" t="str">
        <f>_xlfn.XLOOKUP(G293,产品资料!C:C,产品资料!E:E)</f>
        <v>4609小抽斗(0.8MM)</v>
      </c>
      <c r="I293" s="23" t="str">
        <f>_xlfn.XLOOKUP(G293,产品资料!C:C,产品资料!F:F)</f>
        <v>0.8*418*603</v>
      </c>
      <c r="J293">
        <f>5*Q293-K293</f>
        <v>140</v>
      </c>
      <c r="L293" s="28">
        <f>_xlfn.XLOOKUP(G293,产品资料!C:C,产品资料!O:O)*J293</f>
        <v>220.16926399999997</v>
      </c>
      <c r="M293" s="31">
        <f>IFERROR(_xlfn.XLOOKUP(G293,产品资料!C:C,产品资料!L:L)*J293,0)</f>
        <v>292.45999999999998</v>
      </c>
      <c r="N293">
        <f>IFERROR(_xlfn.XLOOKUP(G293,产品资料!C:C,产品资料!M:M)*J293,0)</f>
        <v>1680</v>
      </c>
      <c r="O293" s="51"/>
      <c r="P293" s="23">
        <f>IF(ISNUMBER(SEARCH("合包",R293)),SUMIFS(J:J,G:G,G:G,F:F,F:F)-SUMIFS(打包记录!J:J,打包记录!G:G,G:G,打包记录!F:F,F:F),SUMIFS(J:J,D:D,D:D,G:G,G:G,F:F,F:F)-SUMIFS(打包记录!J:J,打包记录!D:D,D:D,打包记录!G:G,G:G,打包记录!F:F,F:F))</f>
        <v>3</v>
      </c>
      <c r="Q293">
        <v>28</v>
      </c>
    </row>
    <row r="294" spans="1:18" ht="14.25" customHeight="1" x14ac:dyDescent="0.15">
      <c r="A294">
        <v>290</v>
      </c>
      <c r="B294" s="21">
        <v>46273</v>
      </c>
      <c r="C294" t="s">
        <v>189</v>
      </c>
      <c r="D294" s="24" t="s">
        <v>182</v>
      </c>
      <c r="E294" t="s">
        <v>290</v>
      </c>
      <c r="F294">
        <v>39407267</v>
      </c>
      <c r="G294" t="s">
        <v>125</v>
      </c>
      <c r="H294" t="str">
        <f>_xlfn.XLOOKUP(G294,产品资料!C:C,产品资料!E:E)</f>
        <v>4609大拉手(0.8MM）</v>
      </c>
      <c r="I294" s="23" t="str">
        <f>_xlfn.XLOOKUP(G294,产品资料!C:C,产品资料!F:F)</f>
        <v>0.8*303*515</v>
      </c>
      <c r="J294">
        <f>5*Q294-K294</f>
        <v>120</v>
      </c>
      <c r="L294" s="28">
        <f>_xlfn.XLOOKUP(G294,产品资料!C:C,产品资料!O:O)*J294</f>
        <v>117.33552</v>
      </c>
      <c r="M294" s="31">
        <f>IFERROR(_xlfn.XLOOKUP(G294,产品资料!C:C,产品资料!L:L)*J294,0)</f>
        <v>195.6</v>
      </c>
      <c r="N294">
        <f>IFERROR(_xlfn.XLOOKUP(G294,产品资料!C:C,产品资料!M:M)*J294,0)</f>
        <v>0</v>
      </c>
      <c r="O294" s="51"/>
      <c r="P294" s="23">
        <f>IF(ISNUMBER(SEARCH("合包",R294)),SUMIFS(J:J,G:G,G:G,F:F,F:F)-SUMIFS(打包记录!J:J,打包记录!G:G,G:G,打包记录!F:F,F:F),SUMIFS(J:J,D:D,D:D,G:G,G:G,F:F,F:F)-SUMIFS(打包记录!J:J,打包记录!D:D,D:D,打包记录!G:G,G:G,打包记录!F:F,F:F))</f>
        <v>3</v>
      </c>
      <c r="Q294">
        <v>24</v>
      </c>
    </row>
    <row r="295" spans="1:18" ht="14.25" customHeight="1" x14ac:dyDescent="0.15">
      <c r="A295">
        <v>291</v>
      </c>
      <c r="B295" s="21">
        <v>46274</v>
      </c>
      <c r="C295" t="s">
        <v>189</v>
      </c>
      <c r="D295" s="24" t="s">
        <v>182</v>
      </c>
      <c r="E295" t="s">
        <v>290</v>
      </c>
      <c r="F295">
        <v>39407267</v>
      </c>
      <c r="G295" t="s">
        <v>55</v>
      </c>
      <c r="H295" t="str">
        <f>_xlfn.XLOOKUP(G295,产品资料!C:C,产品资料!E:E)</f>
        <v>4609左内垫板(0.8MM)</v>
      </c>
      <c r="I295" s="23" t="str">
        <f>_xlfn.XLOOKUP(G295,产品资料!C:C,产品资料!F:F)</f>
        <v>0.8*152*662</v>
      </c>
      <c r="J295">
        <f>13.5*Q295-K295</f>
        <v>54</v>
      </c>
      <c r="L295" s="28">
        <f>_xlfn.XLOOKUP(G295,产品资料!C:C,产品资料!O:O)*J295</f>
        <v>33.267672000000005</v>
      </c>
      <c r="M295" s="31">
        <f>IFERROR(_xlfn.XLOOKUP(G295,产品资料!C:C,产品资料!L:L)*J295,0)</f>
        <v>95.903999999999996</v>
      </c>
      <c r="N295">
        <f>IFERROR(_xlfn.XLOOKUP(G295,产品资料!C:C,产品资料!M:M)*J295,0)</f>
        <v>324</v>
      </c>
      <c r="O295" s="50" t="s">
        <v>298</v>
      </c>
      <c r="P295" s="23">
        <f>IF(ISNUMBER(SEARCH("合包",R295)),SUMIFS(J:J,G:G,G:G,F:F,F:F)-SUMIFS(打包记录!J:J,打包记录!G:G,G:G,打包记录!F:F,F:F),SUMIFS(J:J,D:D,D:D,G:G,G:G,F:F,F:F)-SUMIFS(打包记录!J:J,打包记录!D:D,D:D,打包记录!G:G,G:G,打包记录!F:F,F:F))</f>
        <v>4</v>
      </c>
      <c r="Q295">
        <v>4</v>
      </c>
    </row>
    <row r="296" spans="1:18" ht="14.25" customHeight="1" x14ac:dyDescent="0.15">
      <c r="A296">
        <v>292</v>
      </c>
      <c r="B296" s="21">
        <v>46274</v>
      </c>
      <c r="C296" t="s">
        <v>189</v>
      </c>
      <c r="D296" s="24" t="s">
        <v>182</v>
      </c>
      <c r="E296" t="s">
        <v>290</v>
      </c>
      <c r="F296">
        <v>39407267</v>
      </c>
      <c r="G296" t="s">
        <v>65</v>
      </c>
      <c r="H296" t="str">
        <f>_xlfn.XLOOKUP(G296,产品资料!C:C,产品资料!E:E)</f>
        <v>4609中隔板(0.8MM)</v>
      </c>
      <c r="I296" s="23" t="str">
        <f>_xlfn.XLOOKUP(G296,产品资料!C:C,产品资料!F:F)</f>
        <v>0.8*481.5*550</v>
      </c>
      <c r="J296">
        <f t="shared" ref="J296:J299" si="33">13.5*Q296-K296</f>
        <v>108</v>
      </c>
      <c r="L296" s="28">
        <f>_xlfn.XLOOKUP(G296,产品资料!C:C,产品资料!O:O)*J296</f>
        <v>179.30630880000001</v>
      </c>
      <c r="M296" s="31">
        <f>IFERROR(_xlfn.XLOOKUP(G296,产品资料!C:C,产品资料!L:L)*J296,0)</f>
        <v>222.80400000000003</v>
      </c>
      <c r="N296">
        <f>IFERROR(_xlfn.XLOOKUP(G296,产品资料!C:C,产品资料!M:M)*J296,0)</f>
        <v>1620</v>
      </c>
      <c r="O296" s="51"/>
      <c r="P296" s="23">
        <f>IF(ISNUMBER(SEARCH("合包",R296)),SUMIFS(J:J,G:G,G:G,F:F,F:F)-SUMIFS(打包记录!J:J,打包记录!G:G,G:G,打包记录!F:F,F:F),SUMIFS(J:J,D:D,D:D,G:G,G:G,F:F,F:F)-SUMIFS(打包记录!J:J,打包记录!D:D,D:D,打包记录!G:G,G:G,打包记录!F:F,F:F))</f>
        <v>2</v>
      </c>
      <c r="Q296">
        <v>8</v>
      </c>
      <c r="R296" t="s">
        <v>166</v>
      </c>
    </row>
    <row r="297" spans="1:18" ht="14.25" customHeight="1" x14ac:dyDescent="0.15">
      <c r="A297">
        <v>293</v>
      </c>
      <c r="B297" s="21">
        <v>46274</v>
      </c>
      <c r="C297" t="s">
        <v>189</v>
      </c>
      <c r="D297" s="24" t="s">
        <v>182</v>
      </c>
      <c r="E297" t="s">
        <v>290</v>
      </c>
      <c r="F297">
        <v>39407267</v>
      </c>
      <c r="G297" t="s">
        <v>70</v>
      </c>
      <c r="H297" t="str">
        <f>_xlfn.XLOOKUP(G297,产品资料!C:C,产品资料!E:E)</f>
        <v>4609中隔内垫板(0.8MM)</v>
      </c>
      <c r="I297" s="23" t="str">
        <f>_xlfn.XLOOKUP(G297,产品资料!C:C,产品资料!F:F)</f>
        <v>0.8*112*550</v>
      </c>
      <c r="J297">
        <f t="shared" si="33"/>
        <v>216</v>
      </c>
      <c r="L297" s="28">
        <f>_xlfn.XLOOKUP(G297,产品资料!C:C,产品资料!O:O)*J297</f>
        <v>83.342131199999997</v>
      </c>
      <c r="M297" s="31">
        <f>IFERROR(_xlfn.XLOOKUP(G297,产品资料!C:C,产品资料!L:L)*J297,0)</f>
        <v>286.2</v>
      </c>
      <c r="N297">
        <f>IFERROR(_xlfn.XLOOKUP(G297,产品资料!C:C,产品资料!M:M)*J297,0)</f>
        <v>1080</v>
      </c>
      <c r="O297" s="51"/>
      <c r="P297" s="23">
        <f>IF(ISNUMBER(SEARCH("合包",R297)),SUMIFS(J:J,G:G,G:G,F:F,F:F)-SUMIFS(打包记录!J:J,打包记录!G:G,G:G,打包记录!F:F,F:F),SUMIFS(J:J,D:D,D:D,G:G,G:G,F:F,F:F)-SUMIFS(打包记录!J:J,打包记录!D:D,D:D,打包记录!G:G,G:G,打包记录!F:F,F:F))</f>
        <v>2</v>
      </c>
      <c r="Q297">
        <v>16</v>
      </c>
    </row>
    <row r="298" spans="1:18" ht="14.25" customHeight="1" x14ac:dyDescent="0.15">
      <c r="A298">
        <v>294</v>
      </c>
      <c r="B298" s="21">
        <v>46274</v>
      </c>
      <c r="C298" t="s">
        <v>189</v>
      </c>
      <c r="D298" s="24" t="s">
        <v>182</v>
      </c>
      <c r="E298" t="s">
        <v>290</v>
      </c>
      <c r="F298">
        <v>39407267</v>
      </c>
      <c r="G298" t="s">
        <v>100</v>
      </c>
      <c r="H298" t="str">
        <f>_xlfn.XLOOKUP(G298,产品资料!C:C,产品资料!E:E)</f>
        <v>4609小抽斗(0.8MM)</v>
      </c>
      <c r="I298" s="23" t="str">
        <f>_xlfn.XLOOKUP(G298,产品资料!C:C,产品资料!F:F)</f>
        <v>0.8*418*603</v>
      </c>
      <c r="J298">
        <f t="shared" si="33"/>
        <v>378</v>
      </c>
      <c r="L298" s="28">
        <f>_xlfn.XLOOKUP(G298,产品资料!C:C,产品资料!O:O)*J298</f>
        <v>594.45701279999992</v>
      </c>
      <c r="M298" s="31">
        <f>IFERROR(_xlfn.XLOOKUP(G298,产品资料!C:C,产品资料!L:L)*J298,0)</f>
        <v>789.64199999999994</v>
      </c>
      <c r="N298">
        <f>IFERROR(_xlfn.XLOOKUP(G298,产品资料!C:C,产品资料!M:M)*J298,0)</f>
        <v>4536</v>
      </c>
      <c r="O298" s="51"/>
      <c r="P298" s="23">
        <f>IF(ISNUMBER(SEARCH("合包",R298)),SUMIFS(J:J,G:G,G:G,F:F,F:F)-SUMIFS(打包记录!J:J,打包记录!G:G,G:G,打包记录!F:F,F:F),SUMIFS(J:J,D:D,D:D,G:G,G:G,F:F,F:F)-SUMIFS(打包记录!J:J,打包记录!D:D,D:D,打包记录!G:G,G:G,打包记录!F:F,F:F))</f>
        <v>3</v>
      </c>
      <c r="Q298">
        <v>28</v>
      </c>
    </row>
    <row r="299" spans="1:18" ht="14.25" customHeight="1" x14ac:dyDescent="0.15">
      <c r="A299">
        <v>295</v>
      </c>
      <c r="B299" s="21">
        <v>46274</v>
      </c>
      <c r="C299" t="s">
        <v>189</v>
      </c>
      <c r="D299" s="24" t="s">
        <v>182</v>
      </c>
      <c r="E299" t="s">
        <v>290</v>
      </c>
      <c r="F299">
        <v>39407267</v>
      </c>
      <c r="G299" t="s">
        <v>125</v>
      </c>
      <c r="H299" t="str">
        <f>_xlfn.XLOOKUP(G299,产品资料!C:C,产品资料!E:E)</f>
        <v>4609大拉手(0.8MM）</v>
      </c>
      <c r="I299" s="23" t="str">
        <f>_xlfn.XLOOKUP(G299,产品资料!C:C,产品资料!F:F)</f>
        <v>0.8*303*515</v>
      </c>
      <c r="J299">
        <f t="shared" si="33"/>
        <v>324</v>
      </c>
      <c r="L299" s="28">
        <f>_xlfn.XLOOKUP(G299,产品资料!C:C,产品资料!O:O)*J299</f>
        <v>316.805904</v>
      </c>
      <c r="M299" s="31">
        <f>IFERROR(_xlfn.XLOOKUP(G299,产品资料!C:C,产品资料!L:L)*J299,0)</f>
        <v>528.12</v>
      </c>
      <c r="N299">
        <f>IFERROR(_xlfn.XLOOKUP(G299,产品资料!C:C,产品资料!M:M)*J299,0)</f>
        <v>0</v>
      </c>
      <c r="O299" s="51"/>
      <c r="P299" s="23">
        <f>IF(ISNUMBER(SEARCH("合包",R299)),SUMIFS(J:J,G:G,G:G,F:F,F:F)-SUMIFS(打包记录!J:J,打包记录!G:G,G:G,打包记录!F:F,F:F),SUMIFS(J:J,D:D,D:D,G:G,G:G,F:F,F:F)-SUMIFS(打包记录!J:J,打包记录!D:D,D:D,打包记录!G:G,G:G,打包记录!F:F,F:F))</f>
        <v>3</v>
      </c>
      <c r="Q299">
        <v>24</v>
      </c>
    </row>
    <row r="300" spans="1:18" ht="14.25" customHeight="1" x14ac:dyDescent="0.15">
      <c r="A300">
        <v>296</v>
      </c>
      <c r="B300" s="21">
        <v>46274</v>
      </c>
      <c r="C300" t="s">
        <v>189</v>
      </c>
      <c r="D300" s="24" t="s">
        <v>182</v>
      </c>
      <c r="E300" t="s">
        <v>290</v>
      </c>
      <c r="F300">
        <v>39407267</v>
      </c>
      <c r="G300" t="s">
        <v>55</v>
      </c>
      <c r="H300" t="str">
        <f>_xlfn.XLOOKUP(G300,产品资料!C:C,产品资料!E:E)</f>
        <v>4609左内垫板(0.8MM)</v>
      </c>
      <c r="I300" s="23" t="str">
        <f>_xlfn.XLOOKUP(G300,产品资料!C:C,产品资料!F:F)</f>
        <v>0.8*152*662</v>
      </c>
      <c r="J300">
        <f>3*Q300-K300</f>
        <v>72</v>
      </c>
      <c r="L300" s="28">
        <f>_xlfn.XLOOKUP(G300,产品资料!C:C,产品资料!O:O)*J300</f>
        <v>44.356896000000006</v>
      </c>
      <c r="M300" s="31">
        <f>IFERROR(_xlfn.XLOOKUP(G300,产品资料!C:C,产品资料!L:L)*J300,0)</f>
        <v>127.872</v>
      </c>
      <c r="N300">
        <f>IFERROR(_xlfn.XLOOKUP(G300,产品资料!C:C,产品资料!M:M)*J300,0)</f>
        <v>432</v>
      </c>
      <c r="O300" s="51" t="s">
        <v>299</v>
      </c>
      <c r="P300" s="23">
        <f>IF(ISNUMBER(SEARCH("合包",R300)),SUMIFS(J:J,G:G,G:G,F:F,F:F)-SUMIFS(打包记录!J:J,打包记录!G:G,G:G,打包记录!F:F,F:F),SUMIFS(J:J,D:D,D:D,G:G,G:G,F:F,F:F)-SUMIFS(打包记录!J:J,打包记录!D:D,D:D,打包记录!G:G,G:G,打包记录!F:F,F:F))</f>
        <v>4</v>
      </c>
      <c r="Q300">
        <v>24</v>
      </c>
    </row>
    <row r="301" spans="1:18" ht="14.25" customHeight="1" x14ac:dyDescent="0.15">
      <c r="A301">
        <v>297</v>
      </c>
      <c r="B301" s="21">
        <v>46274</v>
      </c>
      <c r="C301" t="s">
        <v>189</v>
      </c>
      <c r="D301" s="24" t="s">
        <v>182</v>
      </c>
      <c r="E301" t="s">
        <v>290</v>
      </c>
      <c r="F301">
        <v>39407267</v>
      </c>
      <c r="G301" t="s">
        <v>60</v>
      </c>
      <c r="H301" t="str">
        <f>_xlfn.XLOOKUP(G301,产品资料!C:C,产品资料!E:E)</f>
        <v>4609后内垫板大槽(0.8MM)</v>
      </c>
      <c r="I301" s="23" t="str">
        <f>_xlfn.XLOOKUP(G301,产品资料!C:C,产品资料!F:F)</f>
        <v>0.8*145*754.5</v>
      </c>
      <c r="J301">
        <f t="shared" ref="J301:J303" si="34">3*Q301-K301</f>
        <v>168</v>
      </c>
      <c r="L301" s="28">
        <f>_xlfn.XLOOKUP(G301,产品资料!C:C,产品资料!O:O)*J301</f>
        <v>115.3369728</v>
      </c>
      <c r="M301" s="31">
        <f>IFERROR(_xlfn.XLOOKUP(G301,产品资料!C:C,产品资料!L:L)*J301,0)</f>
        <v>302.23199999999997</v>
      </c>
      <c r="N301">
        <f>IFERROR(_xlfn.XLOOKUP(G301,产品资料!C:C,产品资料!M:M)*J301,0)</f>
        <v>1008</v>
      </c>
      <c r="O301" s="51"/>
      <c r="P301" s="23">
        <f>IF(ISNUMBER(SEARCH("合包",R301)),SUMIFS(J:J,G:G,G:G,F:F,F:F)-SUMIFS(打包记录!J:J,打包记录!G:G,G:G,打包记录!F:F,F:F),SUMIFS(J:J,D:D,D:D,G:G,G:G,F:F,F:F)-SUMIFS(打包记录!J:J,打包记录!D:D,D:D,打包记录!G:G,G:G,打包记录!F:F,F:F))</f>
        <v>4</v>
      </c>
      <c r="Q301">
        <v>56</v>
      </c>
    </row>
    <row r="302" spans="1:18" ht="14.25" customHeight="1" x14ac:dyDescent="0.15">
      <c r="A302">
        <v>298</v>
      </c>
      <c r="B302" s="21">
        <v>46274</v>
      </c>
      <c r="C302" t="s">
        <v>189</v>
      </c>
      <c r="D302" s="24" t="s">
        <v>182</v>
      </c>
      <c r="E302" t="s">
        <v>290</v>
      </c>
      <c r="F302">
        <v>39407267</v>
      </c>
      <c r="G302" t="s">
        <v>70</v>
      </c>
      <c r="H302" t="str">
        <f>_xlfn.XLOOKUP(G302,产品资料!C:C,产品资料!E:E)</f>
        <v>4609中隔内垫板(0.8MM)</v>
      </c>
      <c r="I302" s="23" t="str">
        <f>_xlfn.XLOOKUP(G302,产品资料!C:C,产品资料!F:F)</f>
        <v>0.8*112*550</v>
      </c>
      <c r="J302">
        <f t="shared" si="34"/>
        <v>180</v>
      </c>
      <c r="L302" s="28">
        <f>_xlfn.XLOOKUP(G302,产品资料!C:C,产品资料!O:O)*J302</f>
        <v>69.451775999999995</v>
      </c>
      <c r="M302" s="31">
        <f>IFERROR(_xlfn.XLOOKUP(G302,产品资料!C:C,产品资料!L:L)*J302,0)</f>
        <v>238.5</v>
      </c>
      <c r="N302">
        <f>IFERROR(_xlfn.XLOOKUP(G302,产品资料!C:C,产品资料!M:M)*J302,0)</f>
        <v>900</v>
      </c>
      <c r="O302" s="51"/>
      <c r="P302" s="23">
        <f>IF(ISNUMBER(SEARCH("合包",R302)),SUMIFS(J:J,G:G,G:G,F:F,F:F)-SUMIFS(打包记录!J:J,打包记录!G:G,G:G,打包记录!F:F,F:F),SUMIFS(J:J,D:D,D:D,G:G,G:G,F:F,F:F)-SUMIFS(打包记录!J:J,打包记录!D:D,D:D,打包记录!G:G,G:G,打包记录!F:F,F:F))</f>
        <v>2</v>
      </c>
      <c r="Q302">
        <v>60</v>
      </c>
    </row>
    <row r="303" spans="1:18" ht="14.25" customHeight="1" x14ac:dyDescent="0.15">
      <c r="A303">
        <v>299</v>
      </c>
      <c r="B303" s="21">
        <v>46274</v>
      </c>
      <c r="C303" t="s">
        <v>189</v>
      </c>
      <c r="D303" s="24" t="s">
        <v>182</v>
      </c>
      <c r="E303" t="s">
        <v>290</v>
      </c>
      <c r="F303">
        <v>39407267</v>
      </c>
      <c r="G303" t="s">
        <v>105</v>
      </c>
      <c r="H303" t="str">
        <f>_xlfn.XLOOKUP(G303,产品资料!C:C,产品资料!E:E)</f>
        <v>4609小拉手(0.8MM）</v>
      </c>
      <c r="I303" s="23" t="str">
        <f>_xlfn.XLOOKUP(G303,产品资料!C:C,产品资料!F:F)</f>
        <v>0.8*142*515</v>
      </c>
      <c r="J303">
        <f t="shared" si="34"/>
        <v>48</v>
      </c>
      <c r="L303" s="28">
        <f>_xlfn.XLOOKUP(G303,产品资料!C:C,产品资料!O:O)*J303</f>
        <v>21.941817599999997</v>
      </c>
      <c r="M303" s="31">
        <f>IFERROR(_xlfn.XLOOKUP(G303,产品资料!C:C,产品资料!L:L)*J303,0)</f>
        <v>62.784000000000006</v>
      </c>
      <c r="N303">
        <f>IFERROR(_xlfn.XLOOKUP(G303,产品资料!C:C,产品资料!M:M)*J303,0)</f>
        <v>0</v>
      </c>
      <c r="O303" s="51"/>
      <c r="P303" s="23">
        <f>IF(ISNUMBER(SEARCH("合包",R303)),SUMIFS(J:J,G:G,G:G,F:F,F:F)-SUMIFS(打包记录!J:J,打包记录!G:G,G:G,打包记录!F:F,F:F),SUMIFS(J:J,D:D,D:D,G:G,G:G,F:F,F:F)-SUMIFS(打包记录!J:J,打包记录!D:D,D:D,打包记录!G:G,G:G,打包记录!F:F,F:F))</f>
        <v>4</v>
      </c>
      <c r="Q303">
        <v>16</v>
      </c>
    </row>
    <row r="304" spans="1:18" ht="14.25" customHeight="1" x14ac:dyDescent="0.15">
      <c r="A304">
        <v>300</v>
      </c>
      <c r="B304" s="21">
        <v>46274</v>
      </c>
      <c r="C304" t="s">
        <v>189</v>
      </c>
      <c r="D304" s="24" t="s">
        <v>182</v>
      </c>
      <c r="E304" t="s">
        <v>290</v>
      </c>
      <c r="F304">
        <v>39407267</v>
      </c>
      <c r="G304" t="s">
        <v>65</v>
      </c>
      <c r="H304" t="str">
        <f>_xlfn.XLOOKUP(G304,产品资料!C:C,产品资料!E:E)</f>
        <v>4609中隔板(0.8MM)</v>
      </c>
      <c r="I304" s="23" t="str">
        <f>_xlfn.XLOOKUP(G304,产品资料!C:C,产品资料!F:F)</f>
        <v>0.8*481.5*550</v>
      </c>
      <c r="J304">
        <f>1*Q304-K304</f>
        <v>8</v>
      </c>
      <c r="L304" s="28">
        <f>_xlfn.XLOOKUP(G304,产品资料!C:C,产品资料!O:O)*J304</f>
        <v>13.2819488</v>
      </c>
      <c r="M304" s="31">
        <f>IFERROR(_xlfn.XLOOKUP(G304,产品资料!C:C,产品资料!L:L)*J304,0)</f>
        <v>16.504000000000001</v>
      </c>
      <c r="N304">
        <f>IFERROR(_xlfn.XLOOKUP(G304,产品资料!C:C,产品资料!M:M)*J304,0)</f>
        <v>120</v>
      </c>
      <c r="O304" s="51" t="s">
        <v>300</v>
      </c>
      <c r="P304" s="23">
        <f>IF(ISNUMBER(SEARCH("合包",R304)),SUMIFS(J:J,G:G,G:G,F:F,F:F)-SUMIFS(打包记录!J:J,打包记录!G:G,G:G,打包记录!F:F,F:F),SUMIFS(J:J,D:D,D:D,G:G,G:G,F:F,F:F)-SUMIFS(打包记录!J:J,打包记录!D:D,D:D,打包记录!G:G,G:G,打包记录!F:F,F:F))</f>
        <v>2</v>
      </c>
      <c r="Q304">
        <v>8</v>
      </c>
      <c r="R304" t="s">
        <v>166</v>
      </c>
    </row>
    <row r="305" spans="1:18" ht="14.25" customHeight="1" x14ac:dyDescent="0.15">
      <c r="A305">
        <v>301</v>
      </c>
      <c r="B305" s="21">
        <v>46274</v>
      </c>
      <c r="C305" t="s">
        <v>189</v>
      </c>
      <c r="D305" s="24" t="s">
        <v>182</v>
      </c>
      <c r="E305" t="s">
        <v>290</v>
      </c>
      <c r="F305">
        <v>39407267</v>
      </c>
      <c r="G305" t="s">
        <v>70</v>
      </c>
      <c r="H305" t="str">
        <f>_xlfn.XLOOKUP(G305,产品资料!C:C,产品资料!E:E)</f>
        <v>4609中隔内垫板(0.8MM)</v>
      </c>
      <c r="I305" s="23" t="str">
        <f>_xlfn.XLOOKUP(G305,产品资料!C:C,产品资料!F:F)</f>
        <v>0.8*112*550</v>
      </c>
      <c r="J305">
        <f t="shared" ref="J305:J311" si="35">1*Q305-K305</f>
        <v>124</v>
      </c>
      <c r="L305" s="28">
        <f>_xlfn.XLOOKUP(G305,产品资料!C:C,产品资料!O:O)*J305</f>
        <v>47.844556799999999</v>
      </c>
      <c r="M305" s="31">
        <f>IFERROR(_xlfn.XLOOKUP(G305,产品资料!C:C,产品资料!L:L)*J305,0)</f>
        <v>164.29999999999998</v>
      </c>
      <c r="N305">
        <f>IFERROR(_xlfn.XLOOKUP(G305,产品资料!C:C,产品资料!M:M)*J305,0)</f>
        <v>620</v>
      </c>
      <c r="O305" s="51"/>
      <c r="P305" s="23">
        <f>IF(ISNUMBER(SEARCH("合包",R305)),SUMIFS(J:J,G:G,G:G,F:F,F:F)-SUMIFS(打包记录!J:J,打包记录!G:G,G:G,打包记录!F:F,F:F),SUMIFS(J:J,D:D,D:D,G:G,G:G,F:F,F:F)-SUMIFS(打包记录!J:J,打包记录!D:D,D:D,打包记录!G:G,G:G,打包记录!F:F,F:F))</f>
        <v>2</v>
      </c>
      <c r="Q305">
        <v>124</v>
      </c>
    </row>
    <row r="306" spans="1:18" ht="14.25" customHeight="1" x14ac:dyDescent="0.15">
      <c r="A306">
        <v>302</v>
      </c>
      <c r="B306" s="21">
        <v>46274</v>
      </c>
      <c r="C306" t="s">
        <v>189</v>
      </c>
      <c r="D306" s="24" t="s">
        <v>182</v>
      </c>
      <c r="E306" t="s">
        <v>290</v>
      </c>
      <c r="F306">
        <v>39407267</v>
      </c>
      <c r="G306" t="s">
        <v>105</v>
      </c>
      <c r="H306" t="str">
        <f>_xlfn.XLOOKUP(G306,产品资料!C:C,产品资料!E:E)</f>
        <v>4609小拉手(0.8MM）</v>
      </c>
      <c r="I306" s="23" t="str">
        <f>_xlfn.XLOOKUP(G306,产品资料!C:C,产品资料!F:F)</f>
        <v>0.8*142*515</v>
      </c>
      <c r="J306">
        <f t="shared" si="35"/>
        <v>28</v>
      </c>
      <c r="L306" s="28">
        <f>_xlfn.XLOOKUP(G306,产品资料!C:C,产品资料!O:O)*J306</f>
        <v>12.799393599999998</v>
      </c>
      <c r="M306" s="31">
        <f>IFERROR(_xlfn.XLOOKUP(G306,产品资料!C:C,产品资料!L:L)*J306,0)</f>
        <v>36.624000000000002</v>
      </c>
      <c r="N306">
        <f>IFERROR(_xlfn.XLOOKUP(G306,产品资料!C:C,产品资料!M:M)*J306,0)</f>
        <v>0</v>
      </c>
      <c r="O306" s="51"/>
      <c r="P306" s="23">
        <f>IF(ISNUMBER(SEARCH("合包",R306)),SUMIFS(J:J,G:G,G:G,F:F,F:F)-SUMIFS(打包记录!J:J,打包记录!G:G,G:G,打包记录!F:F,F:F),SUMIFS(J:J,D:D,D:D,G:G,G:G,F:F,F:F)-SUMIFS(打包记录!J:J,打包记录!D:D,D:D,打包记录!G:G,G:G,打包记录!F:F,F:F))</f>
        <v>4</v>
      </c>
      <c r="Q306">
        <v>28</v>
      </c>
    </row>
    <row r="307" spans="1:18" ht="14.25" customHeight="1" x14ac:dyDescent="0.15">
      <c r="A307">
        <v>303</v>
      </c>
      <c r="B307" s="21">
        <v>46274</v>
      </c>
      <c r="C307" t="s">
        <v>189</v>
      </c>
      <c r="D307" s="24" t="s">
        <v>182</v>
      </c>
      <c r="E307" t="s">
        <v>290</v>
      </c>
      <c r="F307">
        <v>39407267</v>
      </c>
      <c r="G307" t="s">
        <v>125</v>
      </c>
      <c r="H307" t="str">
        <f>_xlfn.XLOOKUP(G307,产品资料!C:C,产品资料!E:E)</f>
        <v>4609大拉手(0.8MM）</v>
      </c>
      <c r="I307" s="23" t="str">
        <f>_xlfn.XLOOKUP(G307,产品资料!C:C,产品资料!F:F)</f>
        <v>0.8*303*515</v>
      </c>
      <c r="J307">
        <f t="shared" si="35"/>
        <v>8</v>
      </c>
      <c r="L307" s="28">
        <f>_xlfn.XLOOKUP(G307,产品资料!C:C,产品资料!O:O)*J307</f>
        <v>7.822368</v>
      </c>
      <c r="M307" s="31">
        <f>IFERROR(_xlfn.XLOOKUP(G307,产品资料!C:C,产品资料!L:L)*J307,0)</f>
        <v>13.04</v>
      </c>
      <c r="N307">
        <f>IFERROR(_xlfn.XLOOKUP(G307,产品资料!C:C,产品资料!M:M)*J307,0)</f>
        <v>0</v>
      </c>
      <c r="O307" s="51"/>
      <c r="P307" s="23">
        <f>IF(ISNUMBER(SEARCH("合包",R307)),SUMIFS(J:J,G:G,G:G,F:F,F:F)-SUMIFS(打包记录!J:J,打包记录!G:G,G:G,打包记录!F:F,F:F),SUMIFS(J:J,D:D,D:D,G:G,G:G,F:F,F:F)-SUMIFS(打包记录!J:J,打包记录!D:D,D:D,打包记录!G:G,G:G,打包记录!F:F,F:F))</f>
        <v>3</v>
      </c>
      <c r="Q307">
        <v>8</v>
      </c>
    </row>
    <row r="308" spans="1:18" ht="14.25" customHeight="1" x14ac:dyDescent="0.15">
      <c r="A308">
        <v>304</v>
      </c>
      <c r="B308" s="21">
        <v>46274</v>
      </c>
      <c r="C308" t="s">
        <v>189</v>
      </c>
      <c r="D308" s="24" t="s">
        <v>182</v>
      </c>
      <c r="E308" t="s">
        <v>290</v>
      </c>
      <c r="F308">
        <v>39407267</v>
      </c>
      <c r="G308" t="s">
        <v>55</v>
      </c>
      <c r="H308" t="str">
        <f>_xlfn.XLOOKUP(G308,产品资料!C:C,产品资料!E:E)</f>
        <v>4609左内垫板(0.8MM)</v>
      </c>
      <c r="I308" s="23" t="str">
        <f>_xlfn.XLOOKUP(G308,产品资料!C:C,产品资料!F:F)</f>
        <v>0.8*152*662</v>
      </c>
      <c r="J308">
        <f t="shared" si="35"/>
        <v>72</v>
      </c>
      <c r="L308" s="28">
        <f>_xlfn.XLOOKUP(G308,产品资料!C:C,产品资料!O:O)*J308</f>
        <v>44.356896000000006</v>
      </c>
      <c r="M308" s="31">
        <f>IFERROR(_xlfn.XLOOKUP(G308,产品资料!C:C,产品资料!L:L)*J308,0)</f>
        <v>127.872</v>
      </c>
      <c r="N308">
        <f>IFERROR(_xlfn.XLOOKUP(G308,产品资料!C:C,产品资料!M:M)*J308,0)</f>
        <v>432</v>
      </c>
      <c r="O308" s="51" t="s">
        <v>301</v>
      </c>
      <c r="P308" s="23">
        <f>IF(ISNUMBER(SEARCH("合包",R308)),SUMIFS(J:J,G:G,G:G,F:F,F:F)-SUMIFS(打包记录!J:J,打包记录!G:G,G:G,打包记录!F:F,F:F),SUMIFS(J:J,D:D,D:D,G:G,G:G,F:F,F:F)-SUMIFS(打包记录!J:J,打包记录!D:D,D:D,打包记录!G:G,G:G,打包记录!F:F,F:F))</f>
        <v>4</v>
      </c>
      <c r="Q308">
        <v>72</v>
      </c>
    </row>
    <row r="309" spans="1:18" ht="14.25" customHeight="1" x14ac:dyDescent="0.15">
      <c r="A309">
        <v>305</v>
      </c>
      <c r="B309" s="21">
        <v>46274</v>
      </c>
      <c r="C309" t="s">
        <v>189</v>
      </c>
      <c r="D309" s="24" t="s">
        <v>182</v>
      </c>
      <c r="E309" t="s">
        <v>290</v>
      </c>
      <c r="F309">
        <v>39407267</v>
      </c>
      <c r="G309" t="s">
        <v>65</v>
      </c>
      <c r="H309" t="str">
        <f>_xlfn.XLOOKUP(G309,产品资料!C:C,产品资料!E:E)</f>
        <v>4609中隔板(0.8MM)</v>
      </c>
      <c r="I309" s="23" t="str">
        <f>_xlfn.XLOOKUP(G309,产品资料!C:C,产品资料!F:F)</f>
        <v>0.8*481.5*550</v>
      </c>
      <c r="J309">
        <f t="shared" si="35"/>
        <v>6</v>
      </c>
      <c r="L309" s="28">
        <f>_xlfn.XLOOKUP(G309,产品资料!C:C,产品资料!O:O)*J309</f>
        <v>9.9614615999999998</v>
      </c>
      <c r="M309" s="31">
        <f>IFERROR(_xlfn.XLOOKUP(G309,产品资料!C:C,产品资料!L:L)*J309,0)</f>
        <v>12.378</v>
      </c>
      <c r="N309">
        <f>IFERROR(_xlfn.XLOOKUP(G309,产品资料!C:C,产品资料!M:M)*J309,0)</f>
        <v>90</v>
      </c>
      <c r="O309" s="51"/>
      <c r="P309" s="23">
        <f>IF(ISNUMBER(SEARCH("合包",R309)),SUMIFS(J:J,G:G,G:G,F:F,F:F)-SUMIFS(打包记录!J:J,打包记录!G:G,G:G,打包记录!F:F,F:F),SUMIFS(J:J,D:D,D:D,G:G,G:G,F:F,F:F)-SUMIFS(打包记录!J:J,打包记录!D:D,D:D,打包记录!G:G,G:G,打包记录!F:F,F:F))</f>
        <v>2</v>
      </c>
      <c r="Q309">
        <v>6</v>
      </c>
      <c r="R309" t="s">
        <v>166</v>
      </c>
    </row>
    <row r="310" spans="1:18" ht="14.25" customHeight="1" x14ac:dyDescent="0.15">
      <c r="A310">
        <v>306</v>
      </c>
      <c r="B310" s="21">
        <v>46274</v>
      </c>
      <c r="C310" t="s">
        <v>189</v>
      </c>
      <c r="D310" s="24" t="s">
        <v>182</v>
      </c>
      <c r="E310" t="s">
        <v>290</v>
      </c>
      <c r="F310">
        <v>39407267</v>
      </c>
      <c r="G310" t="s">
        <v>70</v>
      </c>
      <c r="H310" t="str">
        <f>_xlfn.XLOOKUP(G310,产品资料!C:C,产品资料!E:E)</f>
        <v>4609中隔内垫板(0.8MM)</v>
      </c>
      <c r="I310" s="23" t="str">
        <f>_xlfn.XLOOKUP(G310,产品资料!C:C,产品资料!F:F)</f>
        <v>0.8*112*550</v>
      </c>
      <c r="J310">
        <f t="shared" si="35"/>
        <v>3</v>
      </c>
      <c r="L310" s="28">
        <f>_xlfn.XLOOKUP(G310,产品资料!C:C,产品资料!O:O)*J310</f>
        <v>1.1575295999999999</v>
      </c>
      <c r="M310" s="31">
        <f>IFERROR(_xlfn.XLOOKUP(G310,产品资料!C:C,产品资料!L:L)*J310,0)</f>
        <v>3.9749999999999996</v>
      </c>
      <c r="N310">
        <f>IFERROR(_xlfn.XLOOKUP(G310,产品资料!C:C,产品资料!M:M)*J310,0)</f>
        <v>15</v>
      </c>
      <c r="O310" s="51"/>
      <c r="P310" s="23">
        <f>IF(ISNUMBER(SEARCH("合包",R310)),SUMIFS(J:J,G:G,G:G,F:F,F:F)-SUMIFS(打包记录!J:J,打包记录!G:G,G:G,打包记录!F:F,F:F),SUMIFS(J:J,D:D,D:D,G:G,G:G,F:F,F:F)-SUMIFS(打包记录!J:J,打包记录!D:D,D:D,打包记录!G:G,G:G,打包记录!F:F,F:F))</f>
        <v>2</v>
      </c>
      <c r="Q310">
        <v>3</v>
      </c>
    </row>
    <row r="311" spans="1:18" ht="14.25" customHeight="1" x14ac:dyDescent="0.15">
      <c r="A311">
        <v>307</v>
      </c>
      <c r="B311" s="21">
        <v>46274</v>
      </c>
      <c r="C311" t="s">
        <v>189</v>
      </c>
      <c r="D311" s="24" t="s">
        <v>182</v>
      </c>
      <c r="E311" t="s">
        <v>290</v>
      </c>
      <c r="F311">
        <v>39407267</v>
      </c>
      <c r="G311" t="s">
        <v>105</v>
      </c>
      <c r="H311" t="str">
        <f>_xlfn.XLOOKUP(G311,产品资料!C:C,产品资料!E:E)</f>
        <v>4609小拉手(0.8MM）</v>
      </c>
      <c r="I311" s="23" t="str">
        <f>_xlfn.XLOOKUP(G311,产品资料!C:C,产品资料!F:F)</f>
        <v>0.8*142*515</v>
      </c>
      <c r="J311">
        <f t="shared" si="35"/>
        <v>3</v>
      </c>
      <c r="L311" s="28">
        <f>_xlfn.XLOOKUP(G311,产品资料!C:C,产品资料!O:O)*J311</f>
        <v>1.3713635999999998</v>
      </c>
      <c r="M311" s="31">
        <f>IFERROR(_xlfn.XLOOKUP(G311,产品资料!C:C,产品资料!L:L)*J311,0)</f>
        <v>3.9240000000000004</v>
      </c>
      <c r="N311">
        <f>IFERROR(_xlfn.XLOOKUP(G311,产品资料!C:C,产品资料!M:M)*J311,0)</f>
        <v>0</v>
      </c>
      <c r="O311" s="51"/>
      <c r="P311" s="23">
        <f>IF(ISNUMBER(SEARCH("合包",R311)),SUMIFS(J:J,G:G,G:G,F:F,F:F)-SUMIFS(打包记录!J:J,打包记录!G:G,G:G,打包记录!F:F,F:F),SUMIFS(J:J,D:D,D:D,G:G,G:G,F:F,F:F)-SUMIFS(打包记录!J:J,打包记录!D:D,D:D,打包记录!G:G,G:G,打包记录!F:F,F:F))</f>
        <v>4</v>
      </c>
      <c r="Q311">
        <v>3</v>
      </c>
    </row>
    <row r="312" spans="1:18" ht="14.25" customHeight="1" x14ac:dyDescent="0.15">
      <c r="A312">
        <v>308</v>
      </c>
      <c r="B312" s="21">
        <v>46274</v>
      </c>
      <c r="C312" t="s">
        <v>189</v>
      </c>
      <c r="D312" s="24" t="s">
        <v>182</v>
      </c>
      <c r="E312" t="s">
        <v>290</v>
      </c>
      <c r="F312">
        <v>39407267</v>
      </c>
      <c r="G312" t="s">
        <v>55</v>
      </c>
      <c r="H312" t="str">
        <f>_xlfn.XLOOKUP(G312,产品资料!C:C,产品资料!E:E)</f>
        <v>4609左内垫板(0.8MM)</v>
      </c>
      <c r="I312" s="23" t="str">
        <f>_xlfn.XLOOKUP(G312,产品资料!C:C,产品资料!F:F)</f>
        <v>0.8*152*662</v>
      </c>
      <c r="J312">
        <f>7.25*Q312-K312</f>
        <v>448</v>
      </c>
      <c r="K312">
        <v>16</v>
      </c>
      <c r="L312" s="28">
        <f>_xlfn.XLOOKUP(G312,产品资料!C:C,产品资料!O:O)*J312</f>
        <v>275.99846400000001</v>
      </c>
      <c r="M312" s="31">
        <f>IFERROR(_xlfn.XLOOKUP(G312,产品资料!C:C,产品资料!L:L)*J312,0)</f>
        <v>795.64800000000002</v>
      </c>
      <c r="N312">
        <f>IFERROR(_xlfn.XLOOKUP(G312,产品资料!C:C,产品资料!M:M)*J312,0)</f>
        <v>2688</v>
      </c>
      <c r="O312" s="51" t="s">
        <v>302</v>
      </c>
      <c r="P312" s="23">
        <f>IF(ISNUMBER(SEARCH("合包",R312)),SUMIFS(J:J,G:G,G:G,F:F,F:F)-SUMIFS(打包记录!J:J,打包记录!G:G,G:G,打包记录!F:F,F:F),SUMIFS(J:J,D:D,D:D,G:G,G:G,F:F,F:F)-SUMIFS(打包记录!J:J,打包记录!D:D,D:D,打包记录!G:G,G:G,打包记录!F:F,F:F))</f>
        <v>4</v>
      </c>
      <c r="Q312">
        <v>64</v>
      </c>
    </row>
    <row r="313" spans="1:18" ht="14.25" customHeight="1" x14ac:dyDescent="0.15">
      <c r="A313">
        <v>309</v>
      </c>
      <c r="B313" s="21">
        <v>46274</v>
      </c>
      <c r="C313" t="s">
        <v>189</v>
      </c>
      <c r="D313" s="24" t="s">
        <v>182</v>
      </c>
      <c r="E313" t="s">
        <v>290</v>
      </c>
      <c r="F313">
        <v>39407267</v>
      </c>
      <c r="G313" t="s">
        <v>105</v>
      </c>
      <c r="H313" t="str">
        <f>_xlfn.XLOOKUP(G313,产品资料!C:C,产品资料!E:E)</f>
        <v>4609小拉手(0.8MM）</v>
      </c>
      <c r="I313" s="23" t="str">
        <f>_xlfn.XLOOKUP(G313,产品资料!C:C,产品资料!F:F)</f>
        <v>0.8*142*515</v>
      </c>
      <c r="J313">
        <f t="shared" ref="J313:J314" si="36">7.25*Q313-K313</f>
        <v>417</v>
      </c>
      <c r="K313">
        <v>18</v>
      </c>
      <c r="L313" s="28">
        <f>_xlfn.XLOOKUP(G313,产品资料!C:C,产品资料!O:O)*J313</f>
        <v>190.61954039999998</v>
      </c>
      <c r="M313" s="31">
        <f>IFERROR(_xlfn.XLOOKUP(G313,产品资料!C:C,产品资料!L:L)*J313,0)</f>
        <v>545.43600000000004</v>
      </c>
      <c r="N313">
        <f>IFERROR(_xlfn.XLOOKUP(G313,产品资料!C:C,产品资料!M:M)*J313,0)</f>
        <v>0</v>
      </c>
      <c r="O313" s="51"/>
      <c r="P313" s="23">
        <f>IF(ISNUMBER(SEARCH("合包",R313)),SUMIFS(J:J,G:G,G:G,F:F,F:F)-SUMIFS(打包记录!J:J,打包记录!G:G,G:G,打包记录!F:F,F:F),SUMIFS(J:J,D:D,D:D,G:G,G:G,F:F,F:F)-SUMIFS(打包记录!J:J,打包记录!D:D,D:D,打包记录!G:G,G:G,打包记录!F:F,F:F))</f>
        <v>4</v>
      </c>
      <c r="Q313">
        <v>60</v>
      </c>
    </row>
    <row r="314" spans="1:18" ht="14.25" customHeight="1" x14ac:dyDescent="0.15">
      <c r="A314">
        <v>310</v>
      </c>
      <c r="B314" s="21">
        <v>46274</v>
      </c>
      <c r="C314" t="s">
        <v>189</v>
      </c>
      <c r="D314" s="24" t="s">
        <v>182</v>
      </c>
      <c r="E314" t="s">
        <v>290</v>
      </c>
      <c r="F314">
        <v>39407267</v>
      </c>
      <c r="G314" t="s">
        <v>125</v>
      </c>
      <c r="H314" t="str">
        <f>_xlfn.XLOOKUP(G314,产品资料!C:C,产品资料!E:E)</f>
        <v>4609大拉手(0.8MM）</v>
      </c>
      <c r="I314" s="23" t="str">
        <f>_xlfn.XLOOKUP(G314,产品资料!C:C,产品资料!F:F)</f>
        <v>0.8*303*515</v>
      </c>
      <c r="J314">
        <f t="shared" si="36"/>
        <v>145</v>
      </c>
      <c r="L314" s="28">
        <f>_xlfn.XLOOKUP(G314,产品资料!C:C,产品资料!O:O)*J314</f>
        <v>141.78041999999999</v>
      </c>
      <c r="M314" s="31">
        <f>IFERROR(_xlfn.XLOOKUP(G314,产品资料!C:C,产品资料!L:L)*J314,0)</f>
        <v>236.35</v>
      </c>
      <c r="N314">
        <f>IFERROR(_xlfn.XLOOKUP(G314,产品资料!C:C,产品资料!M:M)*J314,0)</f>
        <v>0</v>
      </c>
      <c r="O314" s="51"/>
      <c r="P314" s="23">
        <f>IF(ISNUMBER(SEARCH("合包",R314)),SUMIFS(J:J,G:G,G:G,F:F,F:F)-SUMIFS(打包记录!J:J,打包记录!G:G,G:G,打包记录!F:F,F:F),SUMIFS(J:J,D:D,D:D,G:G,G:G,F:F,F:F)-SUMIFS(打包记录!J:J,打包记录!D:D,D:D,打包记录!G:G,G:G,打包记录!F:F,F:F))</f>
        <v>3</v>
      </c>
      <c r="Q314">
        <v>20</v>
      </c>
    </row>
    <row r="315" spans="1:18" ht="14.25" customHeight="1" x14ac:dyDescent="0.15">
      <c r="A315">
        <v>311</v>
      </c>
      <c r="B315" s="21">
        <v>46274</v>
      </c>
      <c r="C315" t="s">
        <v>189</v>
      </c>
      <c r="D315" s="24" t="s">
        <v>182</v>
      </c>
      <c r="E315" t="s">
        <v>290</v>
      </c>
      <c r="F315">
        <v>39407267</v>
      </c>
      <c r="G315" t="s">
        <v>19</v>
      </c>
      <c r="H315" t="str">
        <f>_xlfn.XLOOKUP(G315,产品资料!C:C,产品资料!E:E)</f>
        <v xml:space="preserve">4609底盖小加强板（0.8MM ) </v>
      </c>
      <c r="I315" s="23" t="str">
        <f>_xlfn.XLOOKUP(G315,产品资料!C:C,产品资料!F:F)</f>
        <v>0.8*119*1162</v>
      </c>
      <c r="J315">
        <f>8.5*Q315-K315</f>
        <v>602</v>
      </c>
      <c r="K315">
        <v>10</v>
      </c>
      <c r="L315" s="28">
        <f>_xlfn.XLOOKUP(G315,产品资料!C:C,产品资料!O:O)*J315</f>
        <v>517.63427519999993</v>
      </c>
      <c r="M315" s="31">
        <f>IFERROR(_xlfn.XLOOKUP(G315,产品资料!C:C,产品资料!L:L)*J315,0)</f>
        <v>1542.3239999999998</v>
      </c>
      <c r="N315">
        <f>IFERROR(_xlfn.XLOOKUP(G315,产品资料!C:C,产品资料!M:M)*J315,0)</f>
        <v>4816</v>
      </c>
      <c r="O315" s="51" t="s">
        <v>303</v>
      </c>
      <c r="P315" s="23">
        <f>IF(ISNUMBER(SEARCH("合包",R315)),SUMIFS(J:J,G:G,G:G,F:F,F:F)-SUMIFS(打包记录!J:J,打包记录!G:G,G:G,打包记录!F:F,F:F),SUMIFS(J:J,D:D,D:D,G:G,G:G,F:F,F:F)-SUMIFS(打包记录!J:J,打包记录!D:D,D:D,打包记录!G:G,G:G,打包记录!F:F,F:F))</f>
        <v>3</v>
      </c>
      <c r="Q315">
        <v>72</v>
      </c>
      <c r="R315" t="s">
        <v>166</v>
      </c>
    </row>
    <row r="316" spans="1:18" ht="14.25" customHeight="1" x14ac:dyDescent="0.15">
      <c r="A316">
        <v>312</v>
      </c>
      <c r="B316" s="21">
        <v>46274</v>
      </c>
      <c r="C316" t="s">
        <v>189</v>
      </c>
      <c r="D316" s="24" t="s">
        <v>182</v>
      </c>
      <c r="E316" t="s">
        <v>290</v>
      </c>
      <c r="F316">
        <v>39407267</v>
      </c>
      <c r="G316" t="s">
        <v>55</v>
      </c>
      <c r="H316" t="str">
        <f>_xlfn.XLOOKUP(G316,产品资料!C:C,产品资料!E:E)</f>
        <v>4609左内垫板(0.8MM)</v>
      </c>
      <c r="I316" s="23" t="str">
        <f>_xlfn.XLOOKUP(G316,产品资料!C:C,产品资料!F:F)</f>
        <v>0.8*152*662</v>
      </c>
      <c r="J316">
        <f t="shared" ref="J316:J318" si="37">8.5*Q316-K316</f>
        <v>272</v>
      </c>
      <c r="L316" s="28">
        <f>_xlfn.XLOOKUP(G316,产品资料!C:C,产品资料!O:O)*J316</f>
        <v>167.57049600000002</v>
      </c>
      <c r="M316" s="31">
        <f>IFERROR(_xlfn.XLOOKUP(G316,产品资料!C:C,产品资料!L:L)*J316,0)</f>
        <v>483.072</v>
      </c>
      <c r="N316">
        <f>IFERROR(_xlfn.XLOOKUP(G316,产品资料!C:C,产品资料!M:M)*J316,0)</f>
        <v>1632</v>
      </c>
      <c r="O316" s="51"/>
      <c r="P316" s="23">
        <f>IF(ISNUMBER(SEARCH("合包",R316)),SUMIFS(J:J,G:G,G:G,F:F,F:F)-SUMIFS(打包记录!J:J,打包记录!G:G,G:G,打包记录!F:F,F:F),SUMIFS(J:J,D:D,D:D,G:G,G:G,F:F,F:F)-SUMIFS(打包记录!J:J,打包记录!D:D,D:D,打包记录!G:G,G:G,打包记录!F:F,F:F))</f>
        <v>4</v>
      </c>
      <c r="Q316">
        <v>32</v>
      </c>
    </row>
    <row r="317" spans="1:18" ht="14.25" customHeight="1" x14ac:dyDescent="0.15">
      <c r="A317">
        <v>313</v>
      </c>
      <c r="B317" s="21">
        <v>46274</v>
      </c>
      <c r="C317" t="s">
        <v>189</v>
      </c>
      <c r="D317" s="24" t="s">
        <v>182</v>
      </c>
      <c r="E317" t="s">
        <v>290</v>
      </c>
      <c r="F317">
        <v>39407267</v>
      </c>
      <c r="G317" t="s">
        <v>60</v>
      </c>
      <c r="H317" t="str">
        <f>_xlfn.XLOOKUP(G317,产品资料!C:C,产品资料!E:E)</f>
        <v>4609后内垫板大槽(0.8MM)</v>
      </c>
      <c r="I317" s="23" t="str">
        <f>_xlfn.XLOOKUP(G317,产品资料!C:C,产品资料!F:F)</f>
        <v>0.8*145*754.5</v>
      </c>
      <c r="J317">
        <f t="shared" si="37"/>
        <v>30</v>
      </c>
      <c r="K317">
        <v>4</v>
      </c>
      <c r="L317" s="28">
        <f>_xlfn.XLOOKUP(G317,产品资料!C:C,产品资料!O:O)*J317</f>
        <v>20.595887999999999</v>
      </c>
      <c r="M317" s="31">
        <f>IFERROR(_xlfn.XLOOKUP(G317,产品资料!C:C,产品资料!L:L)*J317,0)</f>
        <v>53.97</v>
      </c>
      <c r="N317">
        <f>IFERROR(_xlfn.XLOOKUP(G317,产品资料!C:C,产品资料!M:M)*J317,0)</f>
        <v>180</v>
      </c>
      <c r="O317" s="51"/>
      <c r="P317" s="23">
        <f>IF(ISNUMBER(SEARCH("合包",R317)),SUMIFS(J:J,G:G,G:G,F:F,F:F)-SUMIFS(打包记录!J:J,打包记录!G:G,G:G,打包记录!F:F,F:F),SUMIFS(J:J,D:D,D:D,G:G,G:G,F:F,F:F)-SUMIFS(打包记录!J:J,打包记录!D:D,D:D,打包记录!G:G,G:G,打包记录!F:F,F:F))</f>
        <v>4</v>
      </c>
      <c r="Q317">
        <v>4</v>
      </c>
    </row>
    <row r="318" spans="1:18" ht="14.25" customHeight="1" x14ac:dyDescent="0.15">
      <c r="A318">
        <v>314</v>
      </c>
      <c r="B318" s="21">
        <v>46274</v>
      </c>
      <c r="C318" t="s">
        <v>189</v>
      </c>
      <c r="D318" s="24" t="s">
        <v>182</v>
      </c>
      <c r="E318" t="s">
        <v>290</v>
      </c>
      <c r="F318">
        <v>39407267</v>
      </c>
      <c r="G318" t="s">
        <v>105</v>
      </c>
      <c r="H318" t="str">
        <f>_xlfn.XLOOKUP(G318,产品资料!C:C,产品资料!E:E)</f>
        <v>4609小拉手(0.8MM）</v>
      </c>
      <c r="I318" s="23" t="str">
        <f>_xlfn.XLOOKUP(G318,产品资料!C:C,产品资料!F:F)</f>
        <v>0.8*142*515</v>
      </c>
      <c r="J318">
        <f t="shared" si="37"/>
        <v>102</v>
      </c>
      <c r="L318" s="28">
        <f>_xlfn.XLOOKUP(G318,产品资料!C:C,产品资料!O:O)*J318</f>
        <v>46.626362399999998</v>
      </c>
      <c r="M318" s="31">
        <f>IFERROR(_xlfn.XLOOKUP(G318,产品资料!C:C,产品资料!L:L)*J318,0)</f>
        <v>133.416</v>
      </c>
      <c r="N318">
        <f>IFERROR(_xlfn.XLOOKUP(G318,产品资料!C:C,产品资料!M:M)*J318,0)</f>
        <v>0</v>
      </c>
      <c r="O318" s="51"/>
      <c r="P318" s="23">
        <f>IF(ISNUMBER(SEARCH("合包",R318)),SUMIFS(J:J,G:G,G:G,F:F,F:F)-SUMIFS(打包记录!J:J,打包记录!G:G,G:G,打包记录!F:F,F:F),SUMIFS(J:J,D:D,D:D,G:G,G:G,F:F,F:F)-SUMIFS(打包记录!J:J,打包记录!D:D,D:D,打包记录!G:G,G:G,打包记录!F:F,F:F))</f>
        <v>4</v>
      </c>
      <c r="Q318">
        <v>12</v>
      </c>
    </row>
    <row r="319" spans="1:18" ht="14.25" customHeight="1" x14ac:dyDescent="0.15">
      <c r="A319">
        <v>315</v>
      </c>
      <c r="B319" s="21">
        <v>46274</v>
      </c>
      <c r="C319" t="s">
        <v>189</v>
      </c>
      <c r="D319" s="24" t="s">
        <v>182</v>
      </c>
      <c r="E319" t="s">
        <v>290</v>
      </c>
      <c r="F319">
        <v>39407267</v>
      </c>
      <c r="G319" t="s">
        <v>55</v>
      </c>
      <c r="H319" t="str">
        <f>_xlfn.XLOOKUP(G319,产品资料!C:C,产品资料!E:E)</f>
        <v>4609左内垫板(0.8MM)</v>
      </c>
      <c r="I319" s="23" t="str">
        <f>_xlfn.XLOOKUP(G319,产品资料!C:C,产品资料!F:F)</f>
        <v>0.8*152*662</v>
      </c>
      <c r="J319">
        <f t="shared" ref="J319:J328" si="38">1*Q319-K319</f>
        <v>13</v>
      </c>
      <c r="L319" s="28">
        <f>_xlfn.XLOOKUP(G319,产品资料!C:C,产品资料!O:O)*J319</f>
        <v>8.0088840000000001</v>
      </c>
      <c r="M319" s="31">
        <f>IFERROR(_xlfn.XLOOKUP(G319,产品资料!C:C,产品资料!L:L)*J319,0)</f>
        <v>23.088000000000001</v>
      </c>
      <c r="N319">
        <f>IFERROR(_xlfn.XLOOKUP(G319,产品资料!C:C,产品资料!M:M)*J319,0)</f>
        <v>78</v>
      </c>
      <c r="O319" s="51" t="s">
        <v>304</v>
      </c>
      <c r="P319" s="23">
        <f>IF(ISNUMBER(SEARCH("合包",R319)),SUMIFS(J:J,G:G,G:G,F:F,F:F)-SUMIFS(打包记录!J:J,打包记录!G:G,G:G,打包记录!F:F,F:F),SUMIFS(J:J,D:D,D:D,G:G,G:G,F:F,F:F)-SUMIFS(打包记录!J:J,打包记录!D:D,D:D,打包记录!G:G,G:G,打包记录!F:F,F:F))</f>
        <v>4</v>
      </c>
      <c r="Q319">
        <v>13</v>
      </c>
    </row>
    <row r="320" spans="1:18" ht="14.25" customHeight="1" x14ac:dyDescent="0.15">
      <c r="A320">
        <v>316</v>
      </c>
      <c r="B320" s="21">
        <v>46274</v>
      </c>
      <c r="C320" t="s">
        <v>189</v>
      </c>
      <c r="D320" s="24" t="s">
        <v>182</v>
      </c>
      <c r="E320" t="s">
        <v>290</v>
      </c>
      <c r="F320">
        <v>39407267</v>
      </c>
      <c r="G320" t="s">
        <v>60</v>
      </c>
      <c r="H320" t="str">
        <f>_xlfn.XLOOKUP(G320,产品资料!C:C,产品资料!E:E)</f>
        <v>4609后内垫板大槽(0.8MM)</v>
      </c>
      <c r="I320" s="23" t="str">
        <f>_xlfn.XLOOKUP(G320,产品资料!C:C,产品资料!F:F)</f>
        <v>0.8*145*754.5</v>
      </c>
      <c r="J320">
        <f t="shared" si="38"/>
        <v>4</v>
      </c>
      <c r="L320" s="28">
        <f>_xlfn.XLOOKUP(G320,产品资料!C:C,产品资料!O:O)*J320</f>
        <v>2.7461183999999998</v>
      </c>
      <c r="M320" s="31">
        <f>IFERROR(_xlfn.XLOOKUP(G320,产品资料!C:C,产品资料!L:L)*J320,0)</f>
        <v>7.1959999999999997</v>
      </c>
      <c r="N320">
        <f>IFERROR(_xlfn.XLOOKUP(G320,产品资料!C:C,产品资料!M:M)*J320,0)</f>
        <v>24</v>
      </c>
      <c r="O320" s="51"/>
      <c r="P320" s="23">
        <f>IF(ISNUMBER(SEARCH("合包",R320)),SUMIFS(J:J,G:G,G:G,F:F,F:F)-SUMIFS(打包记录!J:J,打包记录!G:G,G:G,打包记录!F:F,F:F),SUMIFS(J:J,D:D,D:D,G:G,G:G,F:F,F:F)-SUMIFS(打包记录!J:J,打包记录!D:D,D:D,打包记录!G:G,G:G,打包记录!F:F,F:F))</f>
        <v>4</v>
      </c>
      <c r="Q320">
        <v>4</v>
      </c>
    </row>
    <row r="321" spans="1:18" ht="14.25" customHeight="1" x14ac:dyDescent="0.15">
      <c r="A321">
        <v>317</v>
      </c>
      <c r="B321" s="21">
        <v>46274</v>
      </c>
      <c r="C321" t="s">
        <v>189</v>
      </c>
      <c r="D321" s="24" t="s">
        <v>182</v>
      </c>
      <c r="E321" t="s">
        <v>290</v>
      </c>
      <c r="F321">
        <v>39407267</v>
      </c>
      <c r="G321" t="s">
        <v>65</v>
      </c>
      <c r="H321" t="str">
        <f>_xlfn.XLOOKUP(G321,产品资料!C:C,产品资料!E:E)</f>
        <v>4609中隔板(0.8MM)</v>
      </c>
      <c r="I321" s="23" t="str">
        <f>_xlfn.XLOOKUP(G321,产品资料!C:C,产品资料!F:F)</f>
        <v>0.8*481.5*550</v>
      </c>
      <c r="J321">
        <f t="shared" si="38"/>
        <v>6</v>
      </c>
      <c r="L321" s="28">
        <f>_xlfn.XLOOKUP(G321,产品资料!C:C,产品资料!O:O)*J321</f>
        <v>9.9614615999999998</v>
      </c>
      <c r="M321" s="31">
        <f>IFERROR(_xlfn.XLOOKUP(G321,产品资料!C:C,产品资料!L:L)*J321,0)</f>
        <v>12.378</v>
      </c>
      <c r="N321">
        <f>IFERROR(_xlfn.XLOOKUP(G321,产品资料!C:C,产品资料!M:M)*J321,0)</f>
        <v>90</v>
      </c>
      <c r="O321" s="51"/>
      <c r="P321" s="23">
        <f>IF(ISNUMBER(SEARCH("合包",R321)),SUMIFS(J:J,G:G,G:G,F:F,F:F)-SUMIFS(打包记录!J:J,打包记录!G:G,G:G,打包记录!F:F,F:F),SUMIFS(J:J,D:D,D:D,G:G,G:G,F:F,F:F)-SUMIFS(打包记录!J:J,打包记录!D:D,D:D,打包记录!G:G,G:G,打包记录!F:F,F:F))</f>
        <v>2</v>
      </c>
      <c r="Q321">
        <v>6</v>
      </c>
      <c r="R321" t="s">
        <v>166</v>
      </c>
    </row>
    <row r="322" spans="1:18" ht="14.25" customHeight="1" x14ac:dyDescent="0.15">
      <c r="A322">
        <v>318</v>
      </c>
      <c r="B322" s="21">
        <v>46274</v>
      </c>
      <c r="C322" t="s">
        <v>189</v>
      </c>
      <c r="D322" s="24" t="s">
        <v>182</v>
      </c>
      <c r="E322" t="s">
        <v>290</v>
      </c>
      <c r="F322">
        <v>39407267</v>
      </c>
      <c r="G322" t="s">
        <v>105</v>
      </c>
      <c r="H322" t="str">
        <f>_xlfn.XLOOKUP(G322,产品资料!C:C,产品资料!E:E)</f>
        <v>4609小拉手(0.8MM）</v>
      </c>
      <c r="I322" s="23" t="str">
        <f>_xlfn.XLOOKUP(G322,产品资料!C:C,产品资料!F:F)</f>
        <v>0.8*142*515</v>
      </c>
      <c r="J322">
        <f t="shared" si="38"/>
        <v>8</v>
      </c>
      <c r="L322" s="28">
        <f>_xlfn.XLOOKUP(G322,产品资料!C:C,产品资料!O:O)*J322</f>
        <v>3.6569695999999996</v>
      </c>
      <c r="M322" s="31">
        <f>IFERROR(_xlfn.XLOOKUP(G322,产品资料!C:C,产品资料!L:L)*J322,0)</f>
        <v>10.464</v>
      </c>
      <c r="N322">
        <f>IFERROR(_xlfn.XLOOKUP(G322,产品资料!C:C,产品资料!M:M)*J322,0)</f>
        <v>0</v>
      </c>
      <c r="O322" s="51"/>
      <c r="P322" s="23">
        <f>IF(ISNUMBER(SEARCH("合包",R322)),SUMIFS(J:J,G:G,G:G,F:F,F:F)-SUMIFS(打包记录!J:J,打包记录!G:G,G:G,打包记录!F:F,F:F),SUMIFS(J:J,D:D,D:D,G:G,G:G,F:F,F:F)-SUMIFS(打包记录!J:J,打包记录!D:D,D:D,打包记录!G:G,G:G,打包记录!F:F,F:F))</f>
        <v>4</v>
      </c>
      <c r="Q322">
        <v>8</v>
      </c>
    </row>
    <row r="323" spans="1:18" ht="14.25" customHeight="1" x14ac:dyDescent="0.15">
      <c r="A323">
        <v>319</v>
      </c>
      <c r="B323" s="21">
        <v>46274</v>
      </c>
      <c r="C323" t="s">
        <v>189</v>
      </c>
      <c r="D323" s="24" t="s">
        <v>182</v>
      </c>
      <c r="E323" t="s">
        <v>290</v>
      </c>
      <c r="F323">
        <v>39407267</v>
      </c>
      <c r="G323" t="s">
        <v>19</v>
      </c>
      <c r="H323" t="str">
        <f>_xlfn.XLOOKUP(G323,产品资料!C:C,产品资料!E:E)</f>
        <v xml:space="preserve">4609底盖小加强板（0.8MM ) </v>
      </c>
      <c r="I323" s="23" t="str">
        <f>_xlfn.XLOOKUP(G323,产品资料!C:C,产品资料!F:F)</f>
        <v>0.8*119*1162</v>
      </c>
      <c r="J323">
        <f t="shared" si="38"/>
        <v>16</v>
      </c>
      <c r="L323" s="28">
        <f>_xlfn.XLOOKUP(G323,产品资料!C:C,产品资料!O:O)*J323</f>
        <v>13.757721599999998</v>
      </c>
      <c r="M323" s="31">
        <f>IFERROR(_xlfn.XLOOKUP(G323,产品资料!C:C,产品资料!L:L)*J323,0)</f>
        <v>40.991999999999997</v>
      </c>
      <c r="N323">
        <f>IFERROR(_xlfn.XLOOKUP(G323,产品资料!C:C,产品资料!M:M)*J323,0)</f>
        <v>128</v>
      </c>
      <c r="O323" s="51" t="s">
        <v>195</v>
      </c>
      <c r="P323" s="23">
        <f>IF(ISNUMBER(SEARCH("合包",R323)),SUMIFS(J:J,G:G,G:G,F:F,F:F)-SUMIFS(打包记录!J:J,打包记录!G:G,G:G,打包记录!F:F,F:F),SUMIFS(J:J,D:D,D:D,G:G,G:G,F:F,F:F)-SUMIFS(打包记录!J:J,打包记录!D:D,D:D,打包记录!G:G,G:G,打包记录!F:F,F:F))</f>
        <v>3</v>
      </c>
      <c r="Q323">
        <v>16</v>
      </c>
      <c r="R323" t="s">
        <v>166</v>
      </c>
    </row>
    <row r="324" spans="1:18" ht="14.25" customHeight="1" x14ac:dyDescent="0.15">
      <c r="A324">
        <v>320</v>
      </c>
      <c r="B324" s="21">
        <v>46274</v>
      </c>
      <c r="C324" t="s">
        <v>189</v>
      </c>
      <c r="D324" s="24" t="s">
        <v>182</v>
      </c>
      <c r="E324" t="s">
        <v>290</v>
      </c>
      <c r="F324">
        <v>39407267</v>
      </c>
      <c r="G324" t="s">
        <v>55</v>
      </c>
      <c r="H324" t="str">
        <f>_xlfn.XLOOKUP(G324,产品资料!C:C,产品资料!E:E)</f>
        <v>4609左内垫板(0.8MM)</v>
      </c>
      <c r="I324" s="23" t="str">
        <f>_xlfn.XLOOKUP(G324,产品资料!C:C,产品资料!F:F)</f>
        <v>0.8*152*662</v>
      </c>
      <c r="J324">
        <f t="shared" si="38"/>
        <v>9</v>
      </c>
      <c r="L324" s="28">
        <f>_xlfn.XLOOKUP(G324,产品资料!C:C,产品资料!O:O)*J324</f>
        <v>5.5446120000000008</v>
      </c>
      <c r="M324" s="31">
        <f>IFERROR(_xlfn.XLOOKUP(G324,产品资料!C:C,产品资料!L:L)*J324,0)</f>
        <v>15.984</v>
      </c>
      <c r="N324">
        <f>IFERROR(_xlfn.XLOOKUP(G324,产品资料!C:C,产品资料!M:M)*J324,0)</f>
        <v>54</v>
      </c>
      <c r="O324" s="51"/>
      <c r="P324" s="23">
        <f>IF(ISNUMBER(SEARCH("合包",R324)),SUMIFS(J:J,G:G,G:G,F:F,F:F)-SUMIFS(打包记录!J:J,打包记录!G:G,G:G,打包记录!F:F,F:F),SUMIFS(J:J,D:D,D:D,G:G,G:G,F:F,F:F)-SUMIFS(打包记录!J:J,打包记录!D:D,D:D,打包记录!G:G,G:G,打包记录!F:F,F:F))</f>
        <v>4</v>
      </c>
      <c r="Q324">
        <v>9</v>
      </c>
    </row>
    <row r="325" spans="1:18" ht="14.25" customHeight="1" x14ac:dyDescent="0.15">
      <c r="A325">
        <v>321</v>
      </c>
      <c r="B325" s="21">
        <v>46274</v>
      </c>
      <c r="C325" t="s">
        <v>189</v>
      </c>
      <c r="D325" s="24" t="s">
        <v>182</v>
      </c>
      <c r="E325" t="s">
        <v>290</v>
      </c>
      <c r="F325">
        <v>39407267</v>
      </c>
      <c r="G325" t="s">
        <v>60</v>
      </c>
      <c r="H325" t="str">
        <f>_xlfn.XLOOKUP(G325,产品资料!C:C,产品资料!E:E)</f>
        <v>4609后内垫板大槽(0.8MM)</v>
      </c>
      <c r="I325" s="23" t="str">
        <f>_xlfn.XLOOKUP(G325,产品资料!C:C,产品资料!F:F)</f>
        <v>0.8*145*754.5</v>
      </c>
      <c r="J325">
        <f t="shared" si="38"/>
        <v>2</v>
      </c>
      <c r="L325" s="28">
        <f>_xlfn.XLOOKUP(G325,产品资料!C:C,产品资料!O:O)*J325</f>
        <v>1.3730591999999999</v>
      </c>
      <c r="M325" s="31">
        <f>IFERROR(_xlfn.XLOOKUP(G325,产品资料!C:C,产品资料!L:L)*J325,0)</f>
        <v>3.5979999999999999</v>
      </c>
      <c r="N325">
        <f>IFERROR(_xlfn.XLOOKUP(G325,产品资料!C:C,产品资料!M:M)*J325,0)</f>
        <v>12</v>
      </c>
      <c r="O325" s="51"/>
      <c r="P325" s="23">
        <f>IF(ISNUMBER(SEARCH("合包",R325)),SUMIFS(J:J,G:G,G:G,F:F,F:F)-SUMIFS(打包记录!J:J,打包记录!G:G,G:G,打包记录!F:F,F:F),SUMIFS(J:J,D:D,D:D,G:G,G:G,F:F,F:F)-SUMIFS(打包记录!J:J,打包记录!D:D,D:D,打包记录!G:G,G:G,打包记录!F:F,F:F))</f>
        <v>4</v>
      </c>
      <c r="Q325">
        <v>2</v>
      </c>
    </row>
    <row r="326" spans="1:18" ht="14.25" customHeight="1" x14ac:dyDescent="0.15">
      <c r="A326">
        <v>322</v>
      </c>
      <c r="B326" s="21">
        <v>46274</v>
      </c>
      <c r="C326" t="s">
        <v>189</v>
      </c>
      <c r="D326" s="24" t="s">
        <v>182</v>
      </c>
      <c r="E326" t="s">
        <v>290</v>
      </c>
      <c r="F326">
        <v>39407267</v>
      </c>
      <c r="G326" t="s">
        <v>65</v>
      </c>
      <c r="H326" t="str">
        <f>_xlfn.XLOOKUP(G326,产品资料!C:C,产品资料!E:E)</f>
        <v>4609中隔板(0.8MM)</v>
      </c>
      <c r="I326" s="23" t="str">
        <f>_xlfn.XLOOKUP(G326,产品资料!C:C,产品资料!F:F)</f>
        <v>0.8*481.5*550</v>
      </c>
      <c r="J326">
        <f t="shared" si="38"/>
        <v>2</v>
      </c>
      <c r="L326" s="28">
        <f>_xlfn.XLOOKUP(G326,产品资料!C:C,产品资料!O:O)*J326</f>
        <v>3.3204872000000001</v>
      </c>
      <c r="M326" s="31">
        <f>IFERROR(_xlfn.XLOOKUP(G326,产品资料!C:C,产品资料!L:L)*J326,0)</f>
        <v>4.1260000000000003</v>
      </c>
      <c r="N326">
        <f>IFERROR(_xlfn.XLOOKUP(G326,产品资料!C:C,产品资料!M:M)*J326,0)</f>
        <v>30</v>
      </c>
      <c r="O326" s="51"/>
      <c r="P326" s="23">
        <f>IF(ISNUMBER(SEARCH("合包",R326)),SUMIFS(J:J,G:G,G:G,F:F,F:F)-SUMIFS(打包记录!J:J,打包记录!G:G,G:G,打包记录!F:F,F:F),SUMIFS(J:J,D:D,D:D,G:G,G:G,F:F,F:F)-SUMIFS(打包记录!J:J,打包记录!D:D,D:D,打包记录!G:G,G:G,打包记录!F:F,F:F))</f>
        <v>2</v>
      </c>
      <c r="Q326">
        <v>2</v>
      </c>
      <c r="R326" t="s">
        <v>166</v>
      </c>
    </row>
    <row r="327" spans="1:18" ht="14.25" customHeight="1" x14ac:dyDescent="0.15">
      <c r="A327">
        <v>323</v>
      </c>
      <c r="B327" s="21">
        <v>46274</v>
      </c>
      <c r="C327" t="s">
        <v>189</v>
      </c>
      <c r="D327" s="24" t="s">
        <v>182</v>
      </c>
      <c r="E327" t="s">
        <v>290</v>
      </c>
      <c r="F327">
        <v>39407267</v>
      </c>
      <c r="G327" t="s">
        <v>105</v>
      </c>
      <c r="H327" t="str">
        <f>_xlfn.XLOOKUP(G327,产品资料!C:C,产品资料!E:E)</f>
        <v>4609小拉手(0.8MM）</v>
      </c>
      <c r="I327" s="23" t="str">
        <f>_xlfn.XLOOKUP(G327,产品资料!C:C,产品资料!F:F)</f>
        <v>0.8*142*515</v>
      </c>
      <c r="J327">
        <f t="shared" si="38"/>
        <v>12</v>
      </c>
      <c r="L327" s="28">
        <f>_xlfn.XLOOKUP(G327,产品资料!C:C,产品资料!O:O)*J327</f>
        <v>5.4854543999999992</v>
      </c>
      <c r="M327" s="31">
        <f>IFERROR(_xlfn.XLOOKUP(G327,产品资料!C:C,产品资料!L:L)*J327,0)</f>
        <v>15.696000000000002</v>
      </c>
      <c r="N327">
        <f>IFERROR(_xlfn.XLOOKUP(G327,产品资料!C:C,产品资料!M:M)*J327,0)</f>
        <v>0</v>
      </c>
      <c r="O327" s="51"/>
      <c r="P327" s="23">
        <f>IF(ISNUMBER(SEARCH("合包",R327)),SUMIFS(J:J,G:G,G:G,F:F,F:F)-SUMIFS(打包记录!J:J,打包记录!G:G,G:G,打包记录!F:F,F:F),SUMIFS(J:J,D:D,D:D,G:G,G:G,F:F,F:F)-SUMIFS(打包记录!J:J,打包记录!D:D,D:D,打包记录!G:G,G:G,打包记录!F:F,F:F))</f>
        <v>4</v>
      </c>
      <c r="Q327">
        <v>12</v>
      </c>
    </row>
    <row r="328" spans="1:18" ht="14.25" customHeight="1" x14ac:dyDescent="0.15">
      <c r="A328">
        <v>324</v>
      </c>
      <c r="B328" s="21">
        <v>46274</v>
      </c>
      <c r="C328" t="s">
        <v>189</v>
      </c>
      <c r="D328" s="24" t="s">
        <v>182</v>
      </c>
      <c r="E328" t="s">
        <v>290</v>
      </c>
      <c r="F328">
        <v>39407267</v>
      </c>
      <c r="G328" t="s">
        <v>125</v>
      </c>
      <c r="H328" t="str">
        <f>_xlfn.XLOOKUP(G328,产品资料!C:C,产品资料!E:E)</f>
        <v>4609大拉手(0.8MM）</v>
      </c>
      <c r="I328" s="23" t="str">
        <f>_xlfn.XLOOKUP(G328,产品资料!C:C,产品资料!F:F)</f>
        <v>0.8*303*515</v>
      </c>
      <c r="J328">
        <f t="shared" si="38"/>
        <v>16</v>
      </c>
      <c r="L328" s="28">
        <f>_xlfn.XLOOKUP(G328,产品资料!C:C,产品资料!O:O)*J328</f>
        <v>15.644736</v>
      </c>
      <c r="M328" s="31">
        <f>IFERROR(_xlfn.XLOOKUP(G328,产品资料!C:C,产品资料!L:L)*J328,0)</f>
        <v>26.08</v>
      </c>
      <c r="N328">
        <f>IFERROR(_xlfn.XLOOKUP(G328,产品资料!C:C,产品资料!M:M)*J328,0)</f>
        <v>0</v>
      </c>
      <c r="O328" s="51"/>
      <c r="P328" s="23">
        <f>IF(ISNUMBER(SEARCH("合包",R328)),SUMIFS(J:J,G:G,G:G,F:F,F:F)-SUMIFS(打包记录!J:J,打包记录!G:G,G:G,打包记录!F:F,F:F),SUMIFS(J:J,D:D,D:D,G:G,G:G,F:F,F:F)-SUMIFS(打包记录!J:J,打包记录!D:D,D:D,打包记录!G:G,G:G,打包记录!F:F,F:F))</f>
        <v>3</v>
      </c>
      <c r="Q328">
        <v>16</v>
      </c>
    </row>
    <row r="329" spans="1:18" ht="14.25" customHeight="1" x14ac:dyDescent="0.15">
      <c r="A329">
        <v>325</v>
      </c>
      <c r="B329" s="21">
        <v>46274</v>
      </c>
      <c r="C329" t="s">
        <v>189</v>
      </c>
      <c r="D329" s="24" t="s">
        <v>182</v>
      </c>
      <c r="E329" t="s">
        <v>290</v>
      </c>
      <c r="F329">
        <v>39407267</v>
      </c>
      <c r="G329" t="s">
        <v>100</v>
      </c>
      <c r="H329" t="str">
        <f>_xlfn.XLOOKUP(G329,产品资料!C:C,产品资料!E:E)</f>
        <v>4609小抽斗(0.8MM)</v>
      </c>
      <c r="I329" s="23" t="str">
        <f>_xlfn.XLOOKUP(G329,产品资料!C:C,产品资料!F:F)</f>
        <v>0.8*418*603</v>
      </c>
      <c r="J329">
        <f>4*Q329-K329</f>
        <v>111</v>
      </c>
      <c r="K329">
        <v>1</v>
      </c>
      <c r="L329" s="28">
        <f>_xlfn.XLOOKUP(G329,产品资料!C:C,产品资料!O:O)*J329</f>
        <v>174.56277359999999</v>
      </c>
      <c r="M329" s="31">
        <f>IFERROR(_xlfn.XLOOKUP(G329,产品资料!C:C,产品资料!L:L)*J329,0)</f>
        <v>231.87899999999999</v>
      </c>
      <c r="N329">
        <f>IFERROR(_xlfn.XLOOKUP(G329,产品资料!C:C,产品资料!M:M)*J329,0)</f>
        <v>1332</v>
      </c>
      <c r="O329" s="51" t="s">
        <v>305</v>
      </c>
      <c r="P329" s="23">
        <f>IF(ISNUMBER(SEARCH("合包",R329)),SUMIFS(J:J,G:G,G:G,F:F,F:F)-SUMIFS(打包记录!J:J,打包记录!G:G,G:G,打包记录!F:F,F:F),SUMIFS(J:J,D:D,D:D,G:G,G:G,F:F,F:F)-SUMIFS(打包记录!J:J,打包记录!D:D,D:D,打包记录!G:G,G:G,打包记录!F:F,F:F))</f>
        <v>3</v>
      </c>
      <c r="Q329">
        <v>28</v>
      </c>
    </row>
    <row r="330" spans="1:18" ht="14.25" customHeight="1" x14ac:dyDescent="0.15">
      <c r="A330">
        <v>326</v>
      </c>
      <c r="B330" s="21">
        <v>46274</v>
      </c>
      <c r="C330" t="s">
        <v>189</v>
      </c>
      <c r="D330" s="24" t="s">
        <v>182</v>
      </c>
      <c r="E330" t="s">
        <v>290</v>
      </c>
      <c r="F330">
        <v>39407267</v>
      </c>
      <c r="G330" t="s">
        <v>110</v>
      </c>
      <c r="H330" t="str">
        <f>_xlfn.XLOOKUP(G330,产品资料!C:C,产品资料!E:E)</f>
        <v>4609中抽斗(0.8MM)</v>
      </c>
      <c r="I330" s="23" t="str">
        <f>_xlfn.XLOOKUP(G330,产品资料!C:C,产品资料!F:F)</f>
        <v>0.8*418*639</v>
      </c>
      <c r="J330">
        <f>4*Q330-K330</f>
        <v>112</v>
      </c>
      <c r="L330" s="28">
        <f>_xlfn.XLOOKUP(G330,产品资料!C:C,产品资料!O:O)*J330</f>
        <v>186.72097919999999</v>
      </c>
      <c r="M330" s="31">
        <f>IFERROR(_xlfn.XLOOKUP(G330,产品资料!C:C,产品资料!L:L)*J330,0)</f>
        <v>242.03200000000001</v>
      </c>
      <c r="N330">
        <f>IFERROR(_xlfn.XLOOKUP(G330,产品资料!C:C,产品资料!M:M)*J330,0)</f>
        <v>1344</v>
      </c>
      <c r="O330" s="51"/>
      <c r="P330" s="23">
        <f>IF(ISNUMBER(SEARCH("合包",R330)),SUMIFS(J:J,G:G,G:G,F:F,F:F)-SUMIFS(打包记录!J:J,打包记录!G:G,G:G,打包记录!F:F,F:F),SUMIFS(J:J,D:D,D:D,G:G,G:G,F:F,F:F)-SUMIFS(打包记录!J:J,打包记录!D:D,D:D,打包记录!G:G,G:G,打包记录!F:F,F:F))</f>
        <v>2</v>
      </c>
      <c r="Q330">
        <v>28</v>
      </c>
    </row>
    <row r="331" spans="1:18" ht="14.25" customHeight="1" x14ac:dyDescent="0.15">
      <c r="A331">
        <v>327</v>
      </c>
      <c r="B331" s="21">
        <v>46274</v>
      </c>
      <c r="C331" t="s">
        <v>189</v>
      </c>
      <c r="D331" s="24" t="s">
        <v>182</v>
      </c>
      <c r="E331" t="s">
        <v>290</v>
      </c>
      <c r="F331">
        <v>39407267</v>
      </c>
      <c r="G331" t="s">
        <v>40</v>
      </c>
      <c r="H331" t="str">
        <f>_xlfn.XLOOKUP(G331,产品资料!C:C,产品资料!E:E)</f>
        <v>4609底盖（0.8MM)</v>
      </c>
      <c r="I331" s="23" t="str">
        <f>_xlfn.XLOOKUP(G331,产品资料!C:C,产品资料!F:F)</f>
        <v>0.8*552.5*1211</v>
      </c>
      <c r="J331">
        <f>11*Q331-K331</f>
        <v>174</v>
      </c>
      <c r="K331">
        <v>2</v>
      </c>
      <c r="L331" s="28">
        <f>_xlfn.XLOOKUP(G331,产品资料!C:C,产品资料!O:O)*J331</f>
        <v>723.22765920000006</v>
      </c>
      <c r="M331" s="31">
        <f>IFERROR(_xlfn.XLOOKUP(G331,产品资料!C:C,产品资料!L:L)*J331,0)</f>
        <v>623.09399999999994</v>
      </c>
      <c r="N331">
        <f>IFERROR(_xlfn.XLOOKUP(G331,产品资料!C:C,产品资料!M:M)*J331,0)</f>
        <v>2784</v>
      </c>
      <c r="O331" s="51" t="s">
        <v>306</v>
      </c>
      <c r="P331" s="23">
        <f>IF(ISNUMBER(SEARCH("合包",R331)),SUMIFS(J:J,G:G,G:G,F:F,F:F)-SUMIFS(打包记录!J:J,打包记录!G:G,G:G,打包记录!F:F,F:F),SUMIFS(J:J,D:D,D:D,G:G,G:G,F:F,F:F)-SUMIFS(打包记录!J:J,打包记录!D:D,D:D,打包记录!G:G,G:G,打包记录!F:F,F:F))</f>
        <v>3</v>
      </c>
      <c r="Q331">
        <v>16</v>
      </c>
      <c r="R331" t="s">
        <v>166</v>
      </c>
    </row>
    <row r="332" spans="1:18" ht="14.25" customHeight="1" x14ac:dyDescent="0.15">
      <c r="A332">
        <v>328</v>
      </c>
      <c r="B332" s="21">
        <v>46274</v>
      </c>
      <c r="C332" t="s">
        <v>189</v>
      </c>
      <c r="D332" s="24" t="s">
        <v>182</v>
      </c>
      <c r="E332" t="s">
        <v>290</v>
      </c>
      <c r="F332">
        <v>39407267</v>
      </c>
      <c r="G332" t="s">
        <v>100</v>
      </c>
      <c r="H332" t="str">
        <f>_xlfn.XLOOKUP(G332,产品资料!C:C,产品资料!E:E)</f>
        <v>4609小抽斗(0.8MM)</v>
      </c>
      <c r="I332" s="23" t="str">
        <f>_xlfn.XLOOKUP(G332,产品资料!C:C,产品资料!F:F)</f>
        <v>0.8*418*603</v>
      </c>
      <c r="J332">
        <f>11*Q332-K332</f>
        <v>44</v>
      </c>
      <c r="L332" s="28">
        <f>_xlfn.XLOOKUP(G332,产品资料!C:C,产品资料!O:O)*J332</f>
        <v>69.196054399999994</v>
      </c>
      <c r="M332" s="31">
        <f>IFERROR(_xlfn.XLOOKUP(G332,产品资料!C:C,产品资料!L:L)*J332,0)</f>
        <v>91.915999999999997</v>
      </c>
      <c r="N332">
        <f>IFERROR(_xlfn.XLOOKUP(G332,产品资料!C:C,产品资料!M:M)*J332,0)</f>
        <v>528</v>
      </c>
      <c r="O332" s="51"/>
      <c r="P332" s="23">
        <f>IF(ISNUMBER(SEARCH("合包",R332)),SUMIFS(J:J,G:G,G:G,F:F,F:F)-SUMIFS(打包记录!J:J,打包记录!G:G,G:G,打包记录!F:F,F:F),SUMIFS(J:J,D:D,D:D,G:G,G:G,F:F,F:F)-SUMIFS(打包记录!J:J,打包记录!D:D,D:D,打包记录!G:G,G:G,打包记录!F:F,F:F))</f>
        <v>3</v>
      </c>
      <c r="Q332">
        <v>4</v>
      </c>
    </row>
    <row r="333" spans="1:18" ht="14.25" customHeight="1" x14ac:dyDescent="0.15">
      <c r="A333">
        <v>329</v>
      </c>
      <c r="B333" s="21">
        <v>46274</v>
      </c>
      <c r="C333" t="s">
        <v>189</v>
      </c>
      <c r="D333" s="24" t="s">
        <v>182</v>
      </c>
      <c r="E333" t="s">
        <v>290</v>
      </c>
      <c r="F333">
        <v>39407267</v>
      </c>
      <c r="G333" t="s">
        <v>110</v>
      </c>
      <c r="H333" t="str">
        <f>_xlfn.XLOOKUP(G333,产品资料!C:C,产品资料!E:E)</f>
        <v>4609中抽斗(0.8MM)</v>
      </c>
      <c r="I333" s="23" t="str">
        <f>_xlfn.XLOOKUP(G333,产品资料!C:C,产品资料!F:F)</f>
        <v>0.8*418*639</v>
      </c>
      <c r="J333">
        <f>11*Q333-K333</f>
        <v>44</v>
      </c>
      <c r="L333" s="28">
        <f>_xlfn.XLOOKUP(G333,产品资料!C:C,产品资料!O:O)*J333</f>
        <v>73.354670400000003</v>
      </c>
      <c r="M333" s="31">
        <f>IFERROR(_xlfn.XLOOKUP(G333,产品资料!C:C,产品资料!L:L)*J333,0)</f>
        <v>95.084000000000003</v>
      </c>
      <c r="N333">
        <f>IFERROR(_xlfn.XLOOKUP(G333,产品资料!C:C,产品资料!M:M)*J333,0)</f>
        <v>528</v>
      </c>
      <c r="O333" s="51"/>
      <c r="P333" s="23">
        <f>IF(ISNUMBER(SEARCH("合包",R333)),SUMIFS(J:J,G:G,G:G,F:F,F:F)-SUMIFS(打包记录!J:J,打包记录!G:G,G:G,打包记录!F:F,F:F),SUMIFS(J:J,D:D,D:D,G:G,G:G,F:F,F:F)-SUMIFS(打包记录!J:J,打包记录!D:D,D:D,打包记录!G:G,G:G,打包记录!F:F,F:F))</f>
        <v>2</v>
      </c>
      <c r="Q333">
        <v>4</v>
      </c>
    </row>
    <row r="334" spans="1:18" ht="14.25" customHeight="1" x14ac:dyDescent="0.15">
      <c r="A334">
        <v>330</v>
      </c>
      <c r="B334" s="21">
        <v>46275</v>
      </c>
      <c r="C334" t="s">
        <v>189</v>
      </c>
      <c r="D334" s="24" t="s">
        <v>182</v>
      </c>
      <c r="E334" t="s">
        <v>290</v>
      </c>
      <c r="F334">
        <v>39407267</v>
      </c>
      <c r="G334" t="s">
        <v>40</v>
      </c>
      <c r="H334" t="str">
        <f>_xlfn.XLOOKUP(G334,产品资料!C:C,产品资料!E:E)</f>
        <v>4609底盖（0.8MM)</v>
      </c>
      <c r="I334" s="23" t="str">
        <f>_xlfn.XLOOKUP(G334,产品资料!C:C,产品资料!F:F)</f>
        <v>0.8*552.5*1211</v>
      </c>
      <c r="J334">
        <f>19.5*Q334-K334</f>
        <v>312</v>
      </c>
      <c r="L334" s="28">
        <f>_xlfn.XLOOKUP(G334,产品资料!C:C,产品资料!O:O)*J334</f>
        <v>1296.8220096000002</v>
      </c>
      <c r="M334" s="31">
        <f>IFERROR(_xlfn.XLOOKUP(G334,产品资料!C:C,产品资料!L:L)*J334,0)</f>
        <v>1117.2719999999999</v>
      </c>
      <c r="N334">
        <f>IFERROR(_xlfn.XLOOKUP(G334,产品资料!C:C,产品资料!M:M)*J334,0)</f>
        <v>4992</v>
      </c>
      <c r="O334" s="50" t="s">
        <v>307</v>
      </c>
      <c r="P334" s="23">
        <f>IF(ISNUMBER(SEARCH("合包",R334)),SUMIFS(J:J,G:G,G:G,F:F,F:F)-SUMIFS(打包记录!J:J,打包记录!G:G,G:G,打包记录!F:F,F:F),SUMIFS(J:J,D:D,D:D,G:G,G:G,F:F,F:F)-SUMIFS(打包记录!J:J,打包记录!D:D,D:D,打包记录!G:G,G:G,打包记录!F:F,F:F))</f>
        <v>3</v>
      </c>
      <c r="Q334">
        <v>16</v>
      </c>
      <c r="R334" t="s">
        <v>166</v>
      </c>
    </row>
    <row r="335" spans="1:18" ht="14.25" customHeight="1" x14ac:dyDescent="0.15">
      <c r="A335">
        <v>331</v>
      </c>
      <c r="B335" s="21">
        <v>46275</v>
      </c>
      <c r="C335" t="s">
        <v>189</v>
      </c>
      <c r="D335" s="24" t="s">
        <v>182</v>
      </c>
      <c r="E335" t="s">
        <v>290</v>
      </c>
      <c r="F335">
        <v>39407267</v>
      </c>
      <c r="G335" t="s">
        <v>100</v>
      </c>
      <c r="H335" t="str">
        <f>_xlfn.XLOOKUP(G335,产品资料!C:C,产品资料!E:E)</f>
        <v>4609小抽斗(0.8MM)</v>
      </c>
      <c r="I335" s="23" t="str">
        <f>_xlfn.XLOOKUP(G335,产品资料!C:C,产品资料!F:F)</f>
        <v>0.8*418*603</v>
      </c>
      <c r="J335">
        <f t="shared" ref="J335:J336" si="39">19.5*Q335-K335</f>
        <v>78</v>
      </c>
      <c r="L335" s="28">
        <f>_xlfn.XLOOKUP(G335,产品资料!C:C,产品资料!O:O)*J335</f>
        <v>122.66573279999999</v>
      </c>
      <c r="M335" s="31">
        <f>IFERROR(_xlfn.XLOOKUP(G335,产品资料!C:C,产品资料!L:L)*J335,0)</f>
        <v>162.94200000000001</v>
      </c>
      <c r="N335">
        <f>IFERROR(_xlfn.XLOOKUP(G335,产品资料!C:C,产品资料!M:M)*J335,0)</f>
        <v>936</v>
      </c>
      <c r="O335" s="51"/>
      <c r="P335" s="23">
        <f>IF(ISNUMBER(SEARCH("合包",R335)),SUMIFS(J:J,G:G,G:G,F:F,F:F)-SUMIFS(打包记录!J:J,打包记录!G:G,G:G,打包记录!F:F,F:F),SUMIFS(J:J,D:D,D:D,G:G,G:G,F:F,F:F)-SUMIFS(打包记录!J:J,打包记录!D:D,D:D,打包记录!G:G,G:G,打包记录!F:F,F:F))</f>
        <v>3</v>
      </c>
      <c r="Q335">
        <v>4</v>
      </c>
    </row>
    <row r="336" spans="1:18" ht="14.25" customHeight="1" x14ac:dyDescent="0.15">
      <c r="A336">
        <v>332</v>
      </c>
      <c r="B336" s="21">
        <v>46275</v>
      </c>
      <c r="C336" t="s">
        <v>189</v>
      </c>
      <c r="D336" s="24" t="s">
        <v>182</v>
      </c>
      <c r="E336" t="s">
        <v>290</v>
      </c>
      <c r="F336">
        <v>39407267</v>
      </c>
      <c r="G336" t="s">
        <v>110</v>
      </c>
      <c r="H336" t="str">
        <f>_xlfn.XLOOKUP(G336,产品资料!C:C,产品资料!E:E)</f>
        <v>4609中抽斗(0.8MM)</v>
      </c>
      <c r="I336" s="23" t="str">
        <f>_xlfn.XLOOKUP(G336,产品资料!C:C,产品资料!F:F)</f>
        <v>0.8*418*639</v>
      </c>
      <c r="J336">
        <f t="shared" si="39"/>
        <v>78</v>
      </c>
      <c r="L336" s="28">
        <f>_xlfn.XLOOKUP(G336,产品资料!C:C,产品资料!O:O)*J336</f>
        <v>130.03782480000001</v>
      </c>
      <c r="M336" s="31">
        <f>IFERROR(_xlfn.XLOOKUP(G336,产品资料!C:C,产品资料!L:L)*J336,0)</f>
        <v>168.55799999999999</v>
      </c>
      <c r="N336">
        <f>IFERROR(_xlfn.XLOOKUP(G336,产品资料!C:C,产品资料!M:M)*J336,0)</f>
        <v>936</v>
      </c>
      <c r="O336" s="51"/>
      <c r="P336" s="23">
        <f>IF(ISNUMBER(SEARCH("合包",R336)),SUMIFS(J:J,G:G,G:G,F:F,F:F)-SUMIFS(打包记录!J:J,打包记录!G:G,G:G,打包记录!F:F,F:F),SUMIFS(J:J,D:D,D:D,G:G,G:G,F:F,F:F)-SUMIFS(打包记录!J:J,打包记录!D:D,D:D,打包记录!G:G,G:G,打包记录!F:F,F:F))</f>
        <v>2</v>
      </c>
      <c r="Q336">
        <v>4</v>
      </c>
    </row>
    <row r="337" spans="1:18" ht="14.25" customHeight="1" x14ac:dyDescent="0.15">
      <c r="A337">
        <v>333</v>
      </c>
      <c r="B337" s="21">
        <v>46275</v>
      </c>
      <c r="C337" t="s">
        <v>189</v>
      </c>
      <c r="D337" s="24" t="s">
        <v>182</v>
      </c>
      <c r="E337" t="s">
        <v>290</v>
      </c>
      <c r="F337">
        <v>39407267</v>
      </c>
      <c r="G337" t="s">
        <v>100</v>
      </c>
      <c r="H337" t="str">
        <f>_xlfn.XLOOKUP(G337,产品资料!C:C,产品资料!E:E)</f>
        <v>4609小抽斗(0.8MM)</v>
      </c>
      <c r="I337" s="23" t="str">
        <f>_xlfn.XLOOKUP(G337,产品资料!C:C,产品资料!F:F)</f>
        <v>0.8*418*603</v>
      </c>
      <c r="J337">
        <f>52*Q337-K337</f>
        <v>1455</v>
      </c>
      <c r="K337">
        <v>1</v>
      </c>
      <c r="L337" s="28">
        <f>_xlfn.XLOOKUP(G337,产品资料!C:C,产品资料!O:O)*J337</f>
        <v>2288.1877079999995</v>
      </c>
      <c r="M337" s="31">
        <f>IFERROR(_xlfn.XLOOKUP(G337,产品资料!C:C,产品资料!L:L)*J337,0)</f>
        <v>3039.4949999999999</v>
      </c>
      <c r="N337">
        <f>IFERROR(_xlfn.XLOOKUP(G337,产品资料!C:C,产品资料!M:M)*J337,0)</f>
        <v>17460</v>
      </c>
      <c r="O337" s="51" t="s">
        <v>308</v>
      </c>
      <c r="P337" s="23">
        <f>IF(ISNUMBER(SEARCH("合包",R337)),SUMIFS(J:J,G:G,G:G,F:F,F:F)-SUMIFS(打包记录!J:J,打包记录!G:G,G:G,打包记录!F:F,F:F),SUMIFS(J:J,D:D,D:D,G:G,G:G,F:F,F:F)-SUMIFS(打包记录!J:J,打包记录!D:D,D:D,打包记录!G:G,G:G,打包记录!F:F,F:F))</f>
        <v>3</v>
      </c>
      <c r="Q337">
        <v>28</v>
      </c>
    </row>
    <row r="338" spans="1:18" ht="14.25" customHeight="1" x14ac:dyDescent="0.15">
      <c r="A338">
        <v>334</v>
      </c>
      <c r="B338" s="21">
        <v>46275</v>
      </c>
      <c r="C338" t="s">
        <v>189</v>
      </c>
      <c r="D338" s="24" t="s">
        <v>182</v>
      </c>
      <c r="E338" t="s">
        <v>290</v>
      </c>
      <c r="F338">
        <v>39407267</v>
      </c>
      <c r="G338" t="s">
        <v>110</v>
      </c>
      <c r="H338" t="str">
        <f>_xlfn.XLOOKUP(G338,产品资料!C:C,产品资料!E:E)</f>
        <v>4609中抽斗(0.8MM)</v>
      </c>
      <c r="I338" s="23" t="str">
        <f>_xlfn.XLOOKUP(G338,产品资料!C:C,产品资料!F:F)</f>
        <v>0.8*418*639</v>
      </c>
      <c r="J338">
        <f>52*Q338-K338</f>
        <v>1454</v>
      </c>
      <c r="K338">
        <v>2</v>
      </c>
      <c r="L338" s="28">
        <f>_xlfn.XLOOKUP(G338,产品资料!C:C,产品资料!O:O)*J338</f>
        <v>2424.0384263999999</v>
      </c>
      <c r="M338" s="31">
        <f>IFERROR(_xlfn.XLOOKUP(G338,产品资料!C:C,产品资料!L:L)*J338,0)</f>
        <v>3142.0940000000001</v>
      </c>
      <c r="N338">
        <f>IFERROR(_xlfn.XLOOKUP(G338,产品资料!C:C,产品资料!M:M)*J338,0)</f>
        <v>17448</v>
      </c>
      <c r="O338" s="51"/>
      <c r="P338" s="23">
        <f>IF(ISNUMBER(SEARCH("合包",R338)),SUMIFS(J:J,G:G,G:G,F:F,F:F)-SUMIFS(打包记录!J:J,打包记录!G:G,G:G,打包记录!F:F,F:F),SUMIFS(J:J,D:D,D:D,G:G,G:G,F:F,F:F)-SUMIFS(打包记录!J:J,打包记录!D:D,D:D,打包记录!G:G,G:G,打包记录!F:F,F:F))</f>
        <v>2</v>
      </c>
      <c r="Q338">
        <v>28</v>
      </c>
    </row>
    <row r="339" spans="1:18" ht="14.25" customHeight="1" x14ac:dyDescent="0.15">
      <c r="A339">
        <v>335</v>
      </c>
      <c r="B339" s="21">
        <v>46276</v>
      </c>
      <c r="C339" t="s">
        <v>189</v>
      </c>
      <c r="D339" t="s">
        <v>179</v>
      </c>
      <c r="E339" t="s">
        <v>309</v>
      </c>
      <c r="F339">
        <v>39407267</v>
      </c>
      <c r="G339" t="s">
        <v>90</v>
      </c>
      <c r="H339" t="str">
        <f>_xlfn.XLOOKUP(G339,产品资料!C:C,产品资料!E:E)</f>
        <v>4609顶长抽斗(0.8MM)</v>
      </c>
      <c r="I339" s="23" t="str">
        <f>_xlfn.XLOOKUP(G339,产品资料!C:C,产品资料!F:F)</f>
        <v>0.8*418*1210</v>
      </c>
      <c r="J339">
        <f>8*Q339-K339</f>
        <v>112</v>
      </c>
      <c r="L339" s="28">
        <f>_xlfn.XLOOKUP(G339,产品资料!C:C,产品资料!O:O)*J339</f>
        <v>354.45123840000002</v>
      </c>
      <c r="M339" s="31">
        <f>IFERROR(_xlfn.XLOOKUP(G339,产品资料!C:C,产品资料!L:L)*J339,0)</f>
        <v>369.82400000000001</v>
      </c>
      <c r="N339">
        <f>IFERROR(_xlfn.XLOOKUP(G339,产品资料!C:C,产品资料!M:M)*J339,0)</f>
        <v>1344</v>
      </c>
      <c r="O339" s="35" t="s">
        <v>187</v>
      </c>
      <c r="P339" s="23">
        <f>IF(ISNUMBER(SEARCH("合包",R339)),SUMIFS(J:J,G:G,G:G,F:F,F:F)-SUMIFS(打包记录!J:J,打包记录!G:G,G:G,打包记录!F:F,F:F),SUMIFS(J:J,D:D,D:D,G:G,G:G,F:F,F:F)-SUMIFS(打包记录!J:J,打包记录!D:D,D:D,打包记录!G:G,G:G,打包记录!F:F,F:F))</f>
        <v>196</v>
      </c>
      <c r="Q339">
        <v>14</v>
      </c>
    </row>
    <row r="340" spans="1:18" ht="14.25" customHeight="1" x14ac:dyDescent="0.15">
      <c r="A340">
        <v>336</v>
      </c>
      <c r="B340" s="21">
        <v>46276</v>
      </c>
      <c r="C340" t="s">
        <v>189</v>
      </c>
      <c r="D340" s="24" t="s">
        <v>182</v>
      </c>
      <c r="E340" t="s">
        <v>290</v>
      </c>
      <c r="F340">
        <v>39407267</v>
      </c>
      <c r="G340" t="s">
        <v>100</v>
      </c>
      <c r="H340" t="str">
        <f>_xlfn.XLOOKUP(G340,产品资料!C:C,产品资料!E:E)</f>
        <v>4609小抽斗(0.8MM)</v>
      </c>
      <c r="I340" s="23" t="str">
        <f>_xlfn.XLOOKUP(G340,产品资料!C:C,产品资料!F:F)</f>
        <v>0.8*418*603</v>
      </c>
      <c r="J340">
        <f>13.25*Q340-K340</f>
        <v>371</v>
      </c>
      <c r="L340" s="28">
        <f>_xlfn.XLOOKUP(G340,产品资料!C:C,产品资料!O:O)*J340</f>
        <v>583.44854959999986</v>
      </c>
      <c r="M340" s="31">
        <f>IFERROR(_xlfn.XLOOKUP(G340,产品资料!C:C,产品资料!L:L)*J340,0)</f>
        <v>775.01900000000001</v>
      </c>
      <c r="N340">
        <f>IFERROR(_xlfn.XLOOKUP(G340,产品资料!C:C,产品资料!M:M)*J340,0)</f>
        <v>4452</v>
      </c>
      <c r="O340" s="50" t="s">
        <v>310</v>
      </c>
      <c r="P340" s="23">
        <f>IF(ISNUMBER(SEARCH("合包",R340)),SUMIFS(J:J,G:G,G:G,F:F,F:F)-SUMIFS(打包记录!J:J,打包记录!G:G,G:G,打包记录!F:F,F:F),SUMIFS(J:J,D:D,D:D,G:G,G:G,F:F,F:F)-SUMIFS(打包记录!J:J,打包记录!D:D,D:D,打包记录!G:G,G:G,打包记录!F:F,F:F))</f>
        <v>3</v>
      </c>
      <c r="Q340">
        <v>28</v>
      </c>
    </row>
    <row r="341" spans="1:18" ht="14.25" customHeight="1" x14ac:dyDescent="0.15">
      <c r="A341">
        <v>337</v>
      </c>
      <c r="B341" s="21">
        <v>46276</v>
      </c>
      <c r="C341" t="s">
        <v>189</v>
      </c>
      <c r="D341" s="24" t="s">
        <v>182</v>
      </c>
      <c r="E341" t="s">
        <v>290</v>
      </c>
      <c r="F341">
        <v>39407267</v>
      </c>
      <c r="G341" t="s">
        <v>110</v>
      </c>
      <c r="H341" t="str">
        <f>_xlfn.XLOOKUP(G341,产品资料!C:C,产品资料!E:E)</f>
        <v>4609中抽斗(0.8MM)</v>
      </c>
      <c r="I341" s="23" t="str">
        <f>_xlfn.XLOOKUP(G341,产品资料!C:C,产品资料!F:F)</f>
        <v>0.8*418*639</v>
      </c>
      <c r="J341">
        <f>13.25*Q341-K341</f>
        <v>370</v>
      </c>
      <c r="K341">
        <v>1</v>
      </c>
      <c r="L341" s="28">
        <f>_xlfn.XLOOKUP(G341,产品资料!C:C,产品资料!O:O)*J341</f>
        <v>616.846092</v>
      </c>
      <c r="M341" s="31">
        <f>IFERROR(_xlfn.XLOOKUP(G341,产品资料!C:C,产品资料!L:L)*J341,0)</f>
        <v>799.57</v>
      </c>
      <c r="N341">
        <f>IFERROR(_xlfn.XLOOKUP(G341,产品资料!C:C,产品资料!M:M)*J341,0)</f>
        <v>4440</v>
      </c>
      <c r="O341" s="51"/>
      <c r="P341" s="23">
        <f>IF(ISNUMBER(SEARCH("合包",R341)),SUMIFS(J:J,G:G,G:G,F:F,F:F)-SUMIFS(打包记录!J:J,打包记录!G:G,G:G,打包记录!F:F,F:F),SUMIFS(J:J,D:D,D:D,G:G,G:G,F:F,F:F)-SUMIFS(打包记录!J:J,打包记录!D:D,D:D,打包记录!G:G,G:G,打包记录!F:F,F:F))</f>
        <v>2</v>
      </c>
      <c r="Q341">
        <v>28</v>
      </c>
    </row>
    <row r="342" spans="1:18" ht="14.25" customHeight="1" x14ac:dyDescent="0.15">
      <c r="A342">
        <v>338</v>
      </c>
      <c r="B342" s="21">
        <v>46276</v>
      </c>
      <c r="C342" t="s">
        <v>189</v>
      </c>
      <c r="D342" s="24" t="s">
        <v>182</v>
      </c>
      <c r="E342" t="s">
        <v>309</v>
      </c>
      <c r="F342">
        <v>39407267</v>
      </c>
      <c r="G342" t="s">
        <v>100</v>
      </c>
      <c r="H342" t="str">
        <f>_xlfn.XLOOKUP(G342,产品资料!C:C,产品资料!E:E)</f>
        <v>4609小抽斗(0.8MM)</v>
      </c>
      <c r="I342" s="23" t="str">
        <f>_xlfn.XLOOKUP(G342,产品资料!C:C,产品资料!F:F)</f>
        <v>0.8*418*603</v>
      </c>
      <c r="J342">
        <f>47*Q342-K342</f>
        <v>1098</v>
      </c>
      <c r="K342">
        <v>30</v>
      </c>
      <c r="L342" s="28">
        <f>_xlfn.XLOOKUP(G342,产品资料!C:C,产品资料!O:O)*J342</f>
        <v>1726.7560847999998</v>
      </c>
      <c r="M342" s="31">
        <f>IFERROR(_xlfn.XLOOKUP(G342,产品资料!C:C,产品资料!L:L)*J342,0)</f>
        <v>2293.7219999999998</v>
      </c>
      <c r="N342">
        <f>IFERROR(_xlfn.XLOOKUP(G342,产品资料!C:C,产品资料!M:M)*J342,0)</f>
        <v>13176</v>
      </c>
      <c r="O342" s="34" t="s">
        <v>311</v>
      </c>
      <c r="P342" s="23">
        <f>IF(ISNUMBER(SEARCH("合包",R342)),SUMIFS(J:J,G:G,G:G,F:F,F:F)-SUMIFS(打包记录!J:J,打包记录!G:G,G:G,打包记录!F:F,F:F),SUMIFS(J:J,D:D,D:D,G:G,G:G,F:F,F:F)-SUMIFS(打包记录!J:J,打包记录!D:D,D:D,打包记录!G:G,G:G,打包记录!F:F,F:F))</f>
        <v>3</v>
      </c>
      <c r="Q342">
        <v>24</v>
      </c>
    </row>
    <row r="343" spans="1:18" ht="14.25" customHeight="1" x14ac:dyDescent="0.15">
      <c r="A343">
        <v>339</v>
      </c>
      <c r="B343" s="21">
        <v>46277</v>
      </c>
      <c r="C343" t="s">
        <v>189</v>
      </c>
      <c r="D343" t="s">
        <v>179</v>
      </c>
      <c r="E343" t="s">
        <v>309</v>
      </c>
      <c r="F343">
        <v>39407267</v>
      </c>
      <c r="G343" t="s">
        <v>90</v>
      </c>
      <c r="H343" t="str">
        <f>_xlfn.XLOOKUP(G343,产品资料!C:C,产品资料!E:E)</f>
        <v>4609顶长抽斗(0.8MM)</v>
      </c>
      <c r="I343" s="23" t="str">
        <f>_xlfn.XLOOKUP(G343,产品资料!C:C,产品资料!F:F)</f>
        <v>0.8*418*1210</v>
      </c>
      <c r="J343">
        <f>6*Q343-K343</f>
        <v>84</v>
      </c>
      <c r="L343" s="28">
        <f>_xlfn.XLOOKUP(G343,产品资料!C:C,产品资料!O:O)*J343</f>
        <v>265.83842880000003</v>
      </c>
      <c r="M343" s="31">
        <f>IFERROR(_xlfn.XLOOKUP(G343,产品资料!C:C,产品资料!L:L)*J343,0)</f>
        <v>277.36799999999999</v>
      </c>
      <c r="N343">
        <f>IFERROR(_xlfn.XLOOKUP(G343,产品资料!C:C,产品资料!M:M)*J343,0)</f>
        <v>1008</v>
      </c>
      <c r="O343" s="35" t="s">
        <v>312</v>
      </c>
      <c r="P343" s="23">
        <f>IF(ISNUMBER(SEARCH("合包",R343)),SUMIFS(J:J,G:G,G:G,F:F,F:F)-SUMIFS(打包记录!J:J,打包记录!G:G,G:G,打包记录!F:F,F:F),SUMIFS(J:J,D:D,D:D,G:G,G:G,F:F,F:F)-SUMIFS(打包记录!J:J,打包记录!D:D,D:D,打包记录!G:G,G:G,打包记录!F:F,F:F))</f>
        <v>2</v>
      </c>
      <c r="Q343">
        <v>14</v>
      </c>
      <c r="R343" t="s">
        <v>166</v>
      </c>
    </row>
    <row r="344" spans="1:18" ht="14.25" customHeight="1" x14ac:dyDescent="0.15">
      <c r="A344">
        <v>340</v>
      </c>
      <c r="B344" s="21">
        <v>46277</v>
      </c>
      <c r="C344" t="s">
        <v>189</v>
      </c>
      <c r="D344" s="24" t="s">
        <v>182</v>
      </c>
      <c r="E344" t="s">
        <v>309</v>
      </c>
      <c r="F344">
        <v>39407267</v>
      </c>
      <c r="G344" t="s">
        <v>90</v>
      </c>
      <c r="H344" t="str">
        <f>_xlfn.XLOOKUP(G344,产品资料!C:C,产品资料!E:E)</f>
        <v>4609顶长抽斗(0.8MM)</v>
      </c>
      <c r="I344" s="23" t="str">
        <f>_xlfn.XLOOKUP(G344,产品资料!C:C,产品资料!F:F)</f>
        <v>0.8*418*1210</v>
      </c>
      <c r="J344">
        <f t="shared" ref="J344" si="40">23.25*Q344-K344</f>
        <v>93</v>
      </c>
      <c r="L344" s="28">
        <f>_xlfn.XLOOKUP(G344,产品资料!C:C,产品资料!O:O)*J344</f>
        <v>294.32111760000004</v>
      </c>
      <c r="M344" s="31">
        <f>IFERROR(_xlfn.XLOOKUP(G344,产品资料!C:C,产品资料!L:L)*J344,0)</f>
        <v>307.08600000000001</v>
      </c>
      <c r="N344">
        <f>IFERROR(_xlfn.XLOOKUP(G344,产品资料!C:C,产品资料!M:M)*J344,0)</f>
        <v>1116</v>
      </c>
      <c r="O344" s="34"/>
      <c r="P344" s="23">
        <f>IF(ISNUMBER(SEARCH("合包",R344)),SUMIFS(J:J,G:G,G:G,F:F,F:F)-SUMIFS(打包记录!J:J,打包记录!G:G,G:G,打包记录!F:F,F:F),SUMIFS(J:J,D:D,D:D,G:G,G:G,F:F,F:F)-SUMIFS(打包记录!J:J,打包记录!D:D,D:D,打包记录!G:G,G:G,打包记录!F:F,F:F))</f>
        <v>2</v>
      </c>
      <c r="Q344">
        <v>4</v>
      </c>
      <c r="R344" t="s">
        <v>166</v>
      </c>
    </row>
    <row r="345" spans="1:18" ht="14.25" customHeight="1" x14ac:dyDescent="0.15">
      <c r="A345">
        <v>341</v>
      </c>
      <c r="B345" s="21">
        <v>46277</v>
      </c>
      <c r="C345" t="s">
        <v>189</v>
      </c>
      <c r="D345" s="24" t="s">
        <v>182</v>
      </c>
      <c r="E345" t="s">
        <v>309</v>
      </c>
      <c r="F345">
        <v>39407267</v>
      </c>
      <c r="G345" t="s">
        <v>90</v>
      </c>
      <c r="H345" t="str">
        <f>_xlfn.XLOOKUP(G345,产品资料!C:C,产品资料!E:E)</f>
        <v>4609顶长抽斗(0.8MM)</v>
      </c>
      <c r="I345" s="23" t="str">
        <f>_xlfn.XLOOKUP(G345,产品资料!C:C,产品资料!F:F)</f>
        <v>0.8*418*1210</v>
      </c>
      <c r="J345">
        <f t="shared" ref="J345" si="41">11.5*Q345-K345</f>
        <v>46</v>
      </c>
      <c r="L345" s="28">
        <f>_xlfn.XLOOKUP(G345,产品资料!C:C,产品资料!O:O)*J345</f>
        <v>145.5781872</v>
      </c>
      <c r="M345" s="31">
        <f>IFERROR(_xlfn.XLOOKUP(G345,产品资料!C:C,产品资料!L:L)*J345,0)</f>
        <v>151.892</v>
      </c>
      <c r="N345">
        <f>IFERROR(_xlfn.XLOOKUP(G345,产品资料!C:C,产品资料!M:M)*J345,0)</f>
        <v>552</v>
      </c>
      <c r="O345" s="34"/>
      <c r="P345" s="23">
        <f>IF(ISNUMBER(SEARCH("合包",R345)),SUMIFS(J:J,G:G,G:G,F:F,F:F)-SUMIFS(打包记录!J:J,打包记录!G:G,G:G,打包记录!F:F,F:F),SUMIFS(J:J,D:D,D:D,G:G,G:G,F:F,F:F)-SUMIFS(打包记录!J:J,打包记录!D:D,D:D,打包记录!G:G,G:G,打包记录!F:F,F:F))</f>
        <v>2</v>
      </c>
      <c r="Q345">
        <v>4</v>
      </c>
      <c r="R345" t="s">
        <v>166</v>
      </c>
    </row>
    <row r="346" spans="1:18" ht="14.25" customHeight="1" x14ac:dyDescent="0.15">
      <c r="A346">
        <v>342</v>
      </c>
      <c r="B346" s="21">
        <v>46277</v>
      </c>
      <c r="C346" t="s">
        <v>189</v>
      </c>
      <c r="D346" s="24" t="s">
        <v>182</v>
      </c>
      <c r="E346" t="s">
        <v>309</v>
      </c>
      <c r="F346">
        <v>39407267</v>
      </c>
      <c r="G346" t="s">
        <v>90</v>
      </c>
      <c r="H346" t="str">
        <f>_xlfn.XLOOKUP(G346,产品资料!C:C,产品资料!E:E)</f>
        <v>4609顶长抽斗(0.8MM)</v>
      </c>
      <c r="I346" s="23" t="str">
        <f>_xlfn.XLOOKUP(G346,产品资料!C:C,产品资料!F:F)</f>
        <v>0.8*418*1210</v>
      </c>
      <c r="J346">
        <f>44*Q346-K346</f>
        <v>1232</v>
      </c>
      <c r="L346" s="28">
        <f>_xlfn.XLOOKUP(G346,产品资料!C:C,产品资料!O:O)*J346</f>
        <v>3898.9636224000001</v>
      </c>
      <c r="M346" s="31">
        <f>IFERROR(_xlfn.XLOOKUP(G346,产品资料!C:C,产品资料!L:L)*J346,0)</f>
        <v>4068.0639999999999</v>
      </c>
      <c r="N346">
        <f>IFERROR(_xlfn.XLOOKUP(G346,产品资料!C:C,产品资料!M:M)*J346,0)</f>
        <v>14784</v>
      </c>
      <c r="O346" s="34" t="s">
        <v>313</v>
      </c>
      <c r="P346" s="23">
        <f>IF(ISNUMBER(SEARCH("合包",R346)),SUMIFS(J:J,G:G,G:G,F:F,F:F)-SUMIFS(打包记录!J:J,打包记录!G:G,G:G,打包记录!F:F,F:F),SUMIFS(J:J,D:D,D:D,G:G,G:G,F:F,F:F)-SUMIFS(打包记录!J:J,打包记录!D:D,D:D,打包记录!G:G,G:G,打包记录!F:F,F:F))</f>
        <v>2</v>
      </c>
      <c r="Q346">
        <v>28</v>
      </c>
      <c r="R346" t="s">
        <v>166</v>
      </c>
    </row>
    <row r="347" spans="1:18" ht="14.25" customHeight="1" x14ac:dyDescent="0.15">
      <c r="C347" s="49"/>
    </row>
    <row r="348" spans="1:18" ht="14.25" customHeight="1" x14ac:dyDescent="0.15">
      <c r="C348" s="49"/>
    </row>
    <row r="349" spans="1:18" ht="14.25" customHeight="1" x14ac:dyDescent="0.15">
      <c r="C349" s="49"/>
    </row>
    <row r="350" spans="1:18" ht="14.25" customHeight="1" x14ac:dyDescent="0.15">
      <c r="C350" s="49"/>
    </row>
    <row r="351" spans="1:18" ht="14.25" customHeight="1" x14ac:dyDescent="0.15">
      <c r="C351" s="49"/>
    </row>
  </sheetData>
  <autoFilter ref="A4:T346" xr:uid="{00000000-0009-0000-0000-000003000000}"/>
  <mergeCells count="78">
    <mergeCell ref="O8"/>
    <mergeCell ref="O56:O59"/>
    <mergeCell ref="O60:O67"/>
    <mergeCell ref="O68:O70"/>
    <mergeCell ref="O13:O14"/>
    <mergeCell ref="O15:O16"/>
    <mergeCell ref="O17:O20"/>
    <mergeCell ref="O37:O40"/>
    <mergeCell ref="O41:O44"/>
    <mergeCell ref="O47:O50"/>
    <mergeCell ref="O51:O52"/>
    <mergeCell ref="O53:O55"/>
    <mergeCell ref="O21:O24"/>
    <mergeCell ref="O25:O28"/>
    <mergeCell ref="O29:O32"/>
    <mergeCell ref="O33:O34"/>
    <mergeCell ref="O35:O36"/>
    <mergeCell ref="O177:O182"/>
    <mergeCell ref="O183:O185"/>
    <mergeCell ref="O71:O78"/>
    <mergeCell ref="O79:O81"/>
    <mergeCell ref="O82:O89"/>
    <mergeCell ref="O90:O97"/>
    <mergeCell ref="O98:O105"/>
    <mergeCell ref="O107:O114"/>
    <mergeCell ref="O115:O119"/>
    <mergeCell ref="O120:O122"/>
    <mergeCell ref="O123:O127"/>
    <mergeCell ref="O145:O147"/>
    <mergeCell ref="O149:O156"/>
    <mergeCell ref="O160:O162"/>
    <mergeCell ref="O163:O170"/>
    <mergeCell ref="O171:O176"/>
    <mergeCell ref="O128:O131"/>
    <mergeCell ref="O132:O134"/>
    <mergeCell ref="O135:O139"/>
    <mergeCell ref="O140:O141"/>
    <mergeCell ref="O142:O144"/>
    <mergeCell ref="O220:O222"/>
    <mergeCell ref="O223:O224"/>
    <mergeCell ref="O225:O226"/>
    <mergeCell ref="O186:O188"/>
    <mergeCell ref="O189:O190"/>
    <mergeCell ref="O191:O192"/>
    <mergeCell ref="O193:O194"/>
    <mergeCell ref="O195:O198"/>
    <mergeCell ref="O200:O202"/>
    <mergeCell ref="O203:O205"/>
    <mergeCell ref="O206:O210"/>
    <mergeCell ref="O211:O215"/>
    <mergeCell ref="O217:O219"/>
    <mergeCell ref="O285:O289"/>
    <mergeCell ref="O290:O294"/>
    <mergeCell ref="O231:O235"/>
    <mergeCell ref="O238:O240"/>
    <mergeCell ref="O241:O243"/>
    <mergeCell ref="O244:O245"/>
    <mergeCell ref="O246:O248"/>
    <mergeCell ref="O252:O253"/>
    <mergeCell ref="O254:O256"/>
    <mergeCell ref="O263:O266"/>
    <mergeCell ref="O267:O270"/>
    <mergeCell ref="O271:O275"/>
    <mergeCell ref="O276:O280"/>
    <mergeCell ref="O281:O284"/>
    <mergeCell ref="O334:O336"/>
    <mergeCell ref="O337:O338"/>
    <mergeCell ref="O340:O341"/>
    <mergeCell ref="O295:O299"/>
    <mergeCell ref="O300:O303"/>
    <mergeCell ref="O304:O307"/>
    <mergeCell ref="O308:O311"/>
    <mergeCell ref="O312:O314"/>
    <mergeCell ref="O315:O318"/>
    <mergeCell ref="O319:O322"/>
    <mergeCell ref="O323:O328"/>
    <mergeCell ref="O329:O330"/>
    <mergeCell ref="O331:O333"/>
  </mergeCells>
  <phoneticPr fontId="14" type="noConversion"/>
  <pageMargins left="0.25" right="0.25" top="0.75" bottom="0.75" header="0.3" footer="0.3"/>
  <pageSetup paperSize="260" scale="39" fitToHeight="0" orientation="portrait" horizontalDpi="203" verticalDpi="203" r:id="rId1"/>
  <ignoredErrors>
    <ignoredError sqref="L44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6" tint="0.3979308450575274"/>
  </sheetPr>
  <dimension ref="A1:Q142"/>
  <sheetViews>
    <sheetView workbookViewId="0">
      <pane ySplit="1" topLeftCell="A126" activePane="bottomLeft" state="frozen"/>
      <selection pane="bottomLeft" activeCell="H139" sqref="H139"/>
    </sheetView>
  </sheetViews>
  <sheetFormatPr defaultColWidth="9" defaultRowHeight="14.25" x14ac:dyDescent="0.15"/>
  <cols>
    <col min="1" max="1" width="5.5" customWidth="1"/>
    <col min="2" max="2" width="11.625" style="21" customWidth="1"/>
    <col min="3" max="3" width="5.5" customWidth="1"/>
    <col min="4" max="4" width="9.5" customWidth="1"/>
    <col min="5" max="5" width="19.375" customWidth="1"/>
    <col min="6" max="6" width="9.375" customWidth="1"/>
    <col min="7" max="7" width="16.125" customWidth="1"/>
    <col min="8" max="8" width="32.75" customWidth="1"/>
    <col min="9" max="9" width="21.25" style="22" customWidth="1"/>
    <col min="10" max="12" width="7.5" customWidth="1"/>
    <col min="13" max="13" width="15.875" customWidth="1"/>
    <col min="14" max="14" width="7.5" customWidth="1"/>
    <col min="15" max="15" width="31.25" style="21" customWidth="1"/>
    <col min="16" max="16" width="17.125" style="23" customWidth="1"/>
    <col min="17" max="17" width="13.75" customWidth="1"/>
  </cols>
  <sheetData>
    <row r="1" spans="1:17" s="20" customFormat="1" ht="28.5" x14ac:dyDescent="0.15">
      <c r="A1" t="s">
        <v>0</v>
      </c>
      <c r="B1" t="s">
        <v>168</v>
      </c>
      <c r="C1" t="s">
        <v>169</v>
      </c>
      <c r="D1" s="24" t="s">
        <v>170</v>
      </c>
      <c r="E1" t="s">
        <v>171</v>
      </c>
      <c r="F1" t="s">
        <v>158</v>
      </c>
      <c r="G1" t="s">
        <v>2</v>
      </c>
      <c r="H1" t="s">
        <v>159</v>
      </c>
      <c r="I1" s="22" t="s">
        <v>160</v>
      </c>
      <c r="J1" s="24" t="s">
        <v>314</v>
      </c>
      <c r="K1" t="s">
        <v>315</v>
      </c>
      <c r="L1" t="s">
        <v>316</v>
      </c>
      <c r="M1" s="24" t="s">
        <v>317</v>
      </c>
      <c r="N1" t="s">
        <v>318</v>
      </c>
      <c r="O1" t="s">
        <v>17</v>
      </c>
      <c r="P1" s="24" t="s">
        <v>319</v>
      </c>
      <c r="Q1"/>
    </row>
    <row r="2" spans="1:17" x14ac:dyDescent="0.15">
      <c r="A2">
        <f t="shared" ref="A2:A3" si="0">ROW()-1</f>
        <v>1</v>
      </c>
      <c r="B2" s="21">
        <v>46189</v>
      </c>
      <c r="C2" t="s">
        <v>178</v>
      </c>
      <c r="D2" t="s">
        <v>182</v>
      </c>
      <c r="E2" s="25" t="s">
        <v>193</v>
      </c>
      <c r="F2">
        <v>39407267</v>
      </c>
      <c r="G2" t="s">
        <v>135</v>
      </c>
      <c r="H2" t="str">
        <f>_xlfn.XLOOKUP(G2,产品资料!C:C,产品资料!E:E)</f>
        <v>4609后排锁座(0.5)</v>
      </c>
      <c r="I2" s="23" t="str">
        <f>_xlfn.XLOOKUP(G2,产品资料!C:C,产品资料!F:F)</f>
        <v>0.5*110*755</v>
      </c>
      <c r="J2">
        <v>2475</v>
      </c>
      <c r="K2">
        <v>750</v>
      </c>
      <c r="L2">
        <v>765</v>
      </c>
      <c r="M2" t="s">
        <v>531</v>
      </c>
      <c r="N2" t="s">
        <v>376</v>
      </c>
      <c r="O2" s="21" t="s">
        <v>454</v>
      </c>
      <c r="P2" s="27" t="str">
        <f>ROUND(_xlfn.XLOOKUP(G2,产品资料!C:C,产品资料!O:O)*J2,0)&amp;"/"&amp;IFERROR(ROUND(K2/J2/(_xlfn.XLOOKUP(G2,产品资料!C:C,产品资料!N:N)*7.85),2),0)&amp;"/"&amp;L2-K2</f>
        <v>796/0.47/15</v>
      </c>
    </row>
    <row r="3" spans="1:17" x14ac:dyDescent="0.15">
      <c r="A3">
        <f t="shared" si="0"/>
        <v>2</v>
      </c>
      <c r="B3" s="21">
        <v>46189</v>
      </c>
      <c r="C3" t="s">
        <v>178</v>
      </c>
      <c r="D3" t="s">
        <v>182</v>
      </c>
      <c r="E3" s="25" t="s">
        <v>193</v>
      </c>
      <c r="F3">
        <v>39407267</v>
      </c>
      <c r="G3" t="s">
        <v>135</v>
      </c>
      <c r="H3" t="str">
        <f>_xlfn.XLOOKUP(G3,产品资料!C:C,产品资料!E:E)</f>
        <v>4609后排锁座(0.5)</v>
      </c>
      <c r="I3" s="23" t="str">
        <f>_xlfn.XLOOKUP(G3,产品资料!C:C,产品资料!F:F)</f>
        <v>0.5*110*755</v>
      </c>
      <c r="J3">
        <v>3781</v>
      </c>
      <c r="K3">
        <v>1145</v>
      </c>
      <c r="L3">
        <v>1160</v>
      </c>
      <c r="M3" t="s">
        <v>532</v>
      </c>
      <c r="N3" t="s">
        <v>377</v>
      </c>
      <c r="O3" s="21" t="s">
        <v>470</v>
      </c>
      <c r="P3" s="27" t="str">
        <f>ROUND(_xlfn.XLOOKUP(G3,产品资料!C:C,产品资料!O:O)*J3,0)&amp;"/"&amp;IFERROR(ROUND(K3/J3/(_xlfn.XLOOKUP(G3,产品资料!C:C,产品资料!N:N)*7.85),2),0)&amp;"/"&amp;L3-K3</f>
        <v>1216/0.47/15</v>
      </c>
    </row>
    <row r="4" spans="1:17" x14ac:dyDescent="0.15">
      <c r="A4">
        <f t="shared" ref="A4:A5" si="1">ROW()-1</f>
        <v>3</v>
      </c>
      <c r="B4" s="21">
        <v>46205</v>
      </c>
      <c r="C4" t="s">
        <v>180</v>
      </c>
      <c r="D4" t="s">
        <v>179</v>
      </c>
      <c r="E4" s="25" t="s">
        <v>197</v>
      </c>
      <c r="F4">
        <v>39407267</v>
      </c>
      <c r="G4" t="s">
        <v>30</v>
      </c>
      <c r="H4" t="str">
        <f>_xlfn.XLOOKUP(G4,产品资料!C:C,产品资料!E:E)</f>
        <v>4609竖槽（0.8MM)</v>
      </c>
      <c r="I4" s="23" t="str">
        <f>_xlfn.XLOOKUP(G4,产品资料!C:C,产品资料!F:F)</f>
        <v>0.8*69*563</v>
      </c>
      <c r="J4">
        <v>2215</v>
      </c>
      <c r="K4">
        <v>492</v>
      </c>
      <c r="L4">
        <v>502</v>
      </c>
      <c r="M4" t="s">
        <v>541</v>
      </c>
      <c r="N4" t="s">
        <v>380</v>
      </c>
      <c r="O4" s="21" t="s">
        <v>542</v>
      </c>
      <c r="P4" s="27" t="str">
        <f>ROUND(_xlfn.XLOOKUP(G4,产品资料!C:C,产品资料!O:O)*J4,0)&amp;"/"&amp;IFERROR(ROUND(K4/J4/(_xlfn.XLOOKUP(G4,产品资料!C:C,产品资料!N:N)*7.85),2),0)&amp;"/"&amp;L4-K4</f>
        <v>515/0.76/10</v>
      </c>
    </row>
    <row r="5" spans="1:17" x14ac:dyDescent="0.15">
      <c r="A5">
        <f t="shared" si="1"/>
        <v>4</v>
      </c>
      <c r="B5" s="21">
        <v>46206</v>
      </c>
      <c r="C5" t="s">
        <v>189</v>
      </c>
      <c r="D5" t="s">
        <v>179</v>
      </c>
      <c r="E5" s="25" t="s">
        <v>543</v>
      </c>
      <c r="F5">
        <v>39407267</v>
      </c>
      <c r="G5" t="s">
        <v>30</v>
      </c>
      <c r="H5" t="str">
        <f>_xlfn.XLOOKUP(G5,产品资料!C:C,产品资料!E:E)</f>
        <v>4609竖槽（0.8MM)</v>
      </c>
      <c r="I5" s="23" t="str">
        <f>_xlfn.XLOOKUP(G5,产品资料!C:C,产品资料!F:F)</f>
        <v>0.8*69*563</v>
      </c>
      <c r="J5">
        <v>1448</v>
      </c>
      <c r="K5">
        <v>324</v>
      </c>
      <c r="L5">
        <v>334</v>
      </c>
      <c r="M5" t="s">
        <v>544</v>
      </c>
      <c r="N5" t="s">
        <v>381</v>
      </c>
      <c r="O5" s="21" t="s">
        <v>545</v>
      </c>
      <c r="P5" s="27" t="str">
        <f>ROUND(_xlfn.XLOOKUP(G5,产品资料!C:C,产品资料!O:O)*J5,0)&amp;"/"&amp;IFERROR(ROUND(K5/J5/(_xlfn.XLOOKUP(G5,产品资料!C:C,产品资料!N:N)*7.85),2),0)&amp;"/"&amp;L5-K5</f>
        <v>337/0.77/10</v>
      </c>
    </row>
    <row r="6" spans="1:17" x14ac:dyDescent="0.15">
      <c r="A6">
        <f t="shared" ref="A6:A7" si="2">ROW()-1</f>
        <v>5</v>
      </c>
      <c r="B6" s="21">
        <v>46221</v>
      </c>
      <c r="C6" t="s">
        <v>178</v>
      </c>
      <c r="D6" t="s">
        <v>182</v>
      </c>
      <c r="E6" s="25" t="s">
        <v>202</v>
      </c>
      <c r="F6">
        <v>39407267</v>
      </c>
      <c r="G6" t="s">
        <v>140</v>
      </c>
      <c r="H6" t="str">
        <f>_xlfn.XLOOKUP(G6,产品资料!C:C,产品资料!E:E)</f>
        <v>4609平衡杆(镀锌0.9)</v>
      </c>
      <c r="I6" s="23" t="str">
        <f>_xlfn.XLOOKUP(G6,产品资料!C:C,产品资料!F:F)</f>
        <v>0.9*74*658</v>
      </c>
      <c r="J6">
        <v>1950</v>
      </c>
      <c r="K6">
        <v>644</v>
      </c>
      <c r="L6">
        <v>654</v>
      </c>
      <c r="M6" t="s">
        <v>558</v>
      </c>
      <c r="N6" t="s">
        <v>382</v>
      </c>
      <c r="O6" s="21" t="s">
        <v>520</v>
      </c>
      <c r="P6" s="27" t="str">
        <f>ROUND(_xlfn.XLOOKUP(G6,产品资料!C:C,产品资料!O:O)*J6,0)&amp;"/"&amp;IFERROR(ROUND(K6/J6/(_xlfn.XLOOKUP(G6,产品资料!C:C,产品资料!N:N)*7.85),2),0)&amp;"/"&amp;L6-K6</f>
        <v>660/0.88/10</v>
      </c>
    </row>
    <row r="7" spans="1:17" x14ac:dyDescent="0.15">
      <c r="A7">
        <f t="shared" si="2"/>
        <v>6</v>
      </c>
      <c r="B7" s="21">
        <v>46221</v>
      </c>
      <c r="C7" t="s">
        <v>178</v>
      </c>
      <c r="D7" t="s">
        <v>182</v>
      </c>
      <c r="E7" s="25" t="s">
        <v>202</v>
      </c>
      <c r="F7">
        <v>39407267</v>
      </c>
      <c r="G7" t="s">
        <v>140</v>
      </c>
      <c r="H7" t="str">
        <f>_xlfn.XLOOKUP(G7,产品资料!C:C,产品资料!E:E)</f>
        <v>4609平衡杆(镀锌0.9)</v>
      </c>
      <c r="I7" s="23" t="str">
        <f>_xlfn.XLOOKUP(G7,产品资料!C:C,产品资料!F:F)</f>
        <v>0.9*74*658</v>
      </c>
      <c r="J7">
        <v>1713</v>
      </c>
      <c r="K7">
        <v>570</v>
      </c>
      <c r="L7">
        <v>580</v>
      </c>
      <c r="M7" t="s">
        <v>559</v>
      </c>
      <c r="N7" t="s">
        <v>383</v>
      </c>
      <c r="O7" s="21" t="s">
        <v>560</v>
      </c>
      <c r="P7" s="27" t="str">
        <f>ROUND(_xlfn.XLOOKUP(G7,产品资料!C:C,产品资料!O:O)*J7,0)&amp;"/"&amp;IFERROR(ROUND(K7/J7/(_xlfn.XLOOKUP(G7,产品资料!C:C,产品资料!N:N)*7.85),2),0)&amp;"/"&amp;L7-K7</f>
        <v>580/0.88/10</v>
      </c>
    </row>
    <row r="8" spans="1:17" x14ac:dyDescent="0.15">
      <c r="A8">
        <f t="shared" ref="A8:A9" si="3">ROW()-1</f>
        <v>7</v>
      </c>
      <c r="B8" s="21">
        <v>46235</v>
      </c>
      <c r="C8" t="s">
        <v>190</v>
      </c>
      <c r="D8" t="s">
        <v>179</v>
      </c>
      <c r="E8" s="25" t="s">
        <v>203</v>
      </c>
      <c r="F8">
        <v>39407267</v>
      </c>
      <c r="G8" t="s">
        <v>35</v>
      </c>
      <c r="H8" t="str">
        <f>_xlfn.XLOOKUP(G8,产品资料!C:C,产品资料!E:E)</f>
        <v>4609顶盖（0.8MM)</v>
      </c>
      <c r="I8" s="23" t="str">
        <f>_xlfn.XLOOKUP(G8,产品资料!C:C,产品资料!F:F)</f>
        <v>0.8*552*1168.5</v>
      </c>
      <c r="J8">
        <v>455</v>
      </c>
      <c r="K8">
        <v>1746</v>
      </c>
      <c r="L8">
        <v>1758</v>
      </c>
      <c r="M8" t="s">
        <v>570</v>
      </c>
      <c r="N8" t="s">
        <v>320</v>
      </c>
      <c r="O8" s="21" t="s">
        <v>478</v>
      </c>
      <c r="P8" s="27" t="str">
        <f>ROUND(_xlfn.XLOOKUP(G8,产品资料!C:C,产品资料!O:O)*J8,0)&amp;"/"&amp;IFERROR(ROUND(K8/J8/(_xlfn.XLOOKUP(G8,产品资料!C:C,产品资料!N:N)*7.85),2),0)&amp;"/"&amp;L8-K8</f>
        <v>1839/0.76/12</v>
      </c>
    </row>
    <row r="9" spans="1:17" x14ac:dyDescent="0.15">
      <c r="A9">
        <f t="shared" si="3"/>
        <v>8</v>
      </c>
      <c r="B9" s="21">
        <v>46235</v>
      </c>
      <c r="C9" t="s">
        <v>190</v>
      </c>
      <c r="D9" t="s">
        <v>179</v>
      </c>
      <c r="E9" s="25" t="s">
        <v>203</v>
      </c>
      <c r="F9">
        <v>39407267</v>
      </c>
      <c r="G9" t="s">
        <v>35</v>
      </c>
      <c r="H9" t="str">
        <f>_xlfn.XLOOKUP(G9,产品资料!C:C,产品资料!E:E)</f>
        <v>4609顶盖（0.8MM)</v>
      </c>
      <c r="I9" s="23" t="str">
        <f>_xlfn.XLOOKUP(G9,产品资料!C:C,产品资料!F:F)</f>
        <v>0.8*552*1168.5</v>
      </c>
      <c r="J9">
        <v>460</v>
      </c>
      <c r="K9">
        <v>1764</v>
      </c>
      <c r="L9">
        <v>1776</v>
      </c>
      <c r="M9" t="s">
        <v>570</v>
      </c>
      <c r="N9" t="s">
        <v>321</v>
      </c>
      <c r="O9" s="21" t="s">
        <v>479</v>
      </c>
      <c r="P9" s="27" t="str">
        <f>ROUND(_xlfn.XLOOKUP(G9,产品资料!C:C,产品资料!O:O)*J9,0)&amp;"/"&amp;IFERROR(ROUND(K9/J9/(_xlfn.XLOOKUP(G9,产品资料!C:C,产品资料!N:N)*7.85),2),0)&amp;"/"&amp;L9-K9</f>
        <v>1859/0.76/12</v>
      </c>
    </row>
    <row r="10" spans="1:17" x14ac:dyDescent="0.15">
      <c r="A10">
        <f t="shared" ref="A10:A12" si="4">ROW()-1</f>
        <v>9</v>
      </c>
      <c r="B10" s="21">
        <v>46237</v>
      </c>
      <c r="C10" t="s">
        <v>191</v>
      </c>
      <c r="D10" s="24" t="s">
        <v>182</v>
      </c>
      <c r="E10" s="25" t="s">
        <v>203</v>
      </c>
      <c r="F10">
        <v>39407267</v>
      </c>
      <c r="G10" t="s">
        <v>45</v>
      </c>
      <c r="H10" t="str">
        <f>_xlfn.XLOOKUP(G10,产品资料!C:C,产品资料!E:E)</f>
        <v>4609左侧板(0.8MM)</v>
      </c>
      <c r="I10" s="23" t="str">
        <f>_xlfn.XLOOKUP(G10,产品资料!C:C,产品资料!F:F)</f>
        <v>0.8*534.5*789</v>
      </c>
      <c r="J10">
        <v>521</v>
      </c>
      <c r="K10">
        <v>1298</v>
      </c>
      <c r="L10">
        <v>1308</v>
      </c>
      <c r="M10" t="s">
        <v>572</v>
      </c>
      <c r="N10" t="s">
        <v>322</v>
      </c>
      <c r="O10" s="21" t="s">
        <v>454</v>
      </c>
      <c r="P10" s="27" t="str">
        <f>ROUND(_xlfn.XLOOKUP(G10,产品资料!C:C,产品资料!O:O)*J10,0)&amp;"/"&amp;IFERROR(ROUND(K10/J10/(_xlfn.XLOOKUP(G10,产品资料!C:C,产品资料!N:N)*7.85),2),0)&amp;"/"&amp;L10-K10</f>
        <v>1364/0.76/10</v>
      </c>
    </row>
    <row r="11" spans="1:17" x14ac:dyDescent="0.15">
      <c r="A11">
        <f t="shared" si="4"/>
        <v>10</v>
      </c>
      <c r="B11" s="21">
        <v>46237</v>
      </c>
      <c r="C11" t="s">
        <v>191</v>
      </c>
      <c r="D11" s="24" t="s">
        <v>182</v>
      </c>
      <c r="E11" s="25" t="s">
        <v>203</v>
      </c>
      <c r="F11">
        <v>39407267</v>
      </c>
      <c r="G11" t="s">
        <v>45</v>
      </c>
      <c r="H11" t="str">
        <f>_xlfn.XLOOKUP(G11,产品资料!C:C,产品资料!E:E)</f>
        <v>4609左侧板(0.8MM)</v>
      </c>
      <c r="I11" s="23" t="str">
        <f>_xlfn.XLOOKUP(G11,产品资料!C:C,产品资料!F:F)</f>
        <v>0.8*534.5*789</v>
      </c>
      <c r="J11">
        <v>532</v>
      </c>
      <c r="K11">
        <v>1326</v>
      </c>
      <c r="L11">
        <v>1336</v>
      </c>
      <c r="M11" t="s">
        <v>556</v>
      </c>
      <c r="N11" t="s">
        <v>323</v>
      </c>
      <c r="O11" s="21" t="s">
        <v>480</v>
      </c>
      <c r="P11" s="27" t="str">
        <f>ROUND(_xlfn.XLOOKUP(G11,产品资料!C:C,产品资料!O:O)*J11,0)&amp;"/"&amp;IFERROR(ROUND(K11/J11/(_xlfn.XLOOKUP(G11,产品资料!C:C,产品资料!N:N)*7.85),2),0)&amp;"/"&amp;L11-K11</f>
        <v>1393/0.76/10</v>
      </c>
    </row>
    <row r="12" spans="1:17" x14ac:dyDescent="0.15">
      <c r="A12">
        <f t="shared" si="4"/>
        <v>11</v>
      </c>
      <c r="B12" s="21">
        <v>46237</v>
      </c>
      <c r="C12" t="s">
        <v>191</v>
      </c>
      <c r="D12" s="24" t="s">
        <v>182</v>
      </c>
      <c r="E12" s="25" t="s">
        <v>203</v>
      </c>
      <c r="F12">
        <v>39407267</v>
      </c>
      <c r="G12" t="s">
        <v>45</v>
      </c>
      <c r="H12" t="str">
        <f>_xlfn.XLOOKUP(G12,产品资料!C:C,产品资料!E:E)</f>
        <v>4609左侧板(0.8MM)</v>
      </c>
      <c r="I12" s="23" t="str">
        <f>_xlfn.XLOOKUP(G12,产品资料!C:C,产品资料!F:F)</f>
        <v>0.8*534.5*789</v>
      </c>
      <c r="J12">
        <v>532</v>
      </c>
      <c r="K12">
        <v>1324</v>
      </c>
      <c r="L12">
        <v>1334</v>
      </c>
      <c r="M12" t="s">
        <v>556</v>
      </c>
      <c r="N12" t="s">
        <v>324</v>
      </c>
      <c r="O12" s="21" t="s">
        <v>472</v>
      </c>
      <c r="P12" s="27" t="str">
        <f>ROUND(_xlfn.XLOOKUP(G12,产品资料!C:C,产品资料!O:O)*J12,0)&amp;"/"&amp;IFERROR(ROUND(K12/J12/(_xlfn.XLOOKUP(G12,产品资料!C:C,产品资料!N:N)*7.85),2),0)&amp;"/"&amp;L12-K12</f>
        <v>1393/0.76/10</v>
      </c>
    </row>
    <row r="13" spans="1:17" x14ac:dyDescent="0.15">
      <c r="A13">
        <f t="shared" ref="A13:A19" si="5">ROW()-1</f>
        <v>12</v>
      </c>
      <c r="B13" s="21">
        <v>46238</v>
      </c>
      <c r="C13" t="s">
        <v>191</v>
      </c>
      <c r="D13" s="24" t="s">
        <v>182</v>
      </c>
      <c r="E13" s="25" t="s">
        <v>203</v>
      </c>
      <c r="F13">
        <v>39407267</v>
      </c>
      <c r="G13" t="s">
        <v>45</v>
      </c>
      <c r="H13" t="str">
        <f>_xlfn.XLOOKUP(G13,产品资料!C:C,产品资料!E:E)</f>
        <v>4609左侧板(0.8MM)</v>
      </c>
      <c r="I13" s="23" t="str">
        <f>_xlfn.XLOOKUP(G13,产品资料!C:C,产品资料!F:F)</f>
        <v>0.8*534.5*789</v>
      </c>
      <c r="J13">
        <v>532</v>
      </c>
      <c r="K13">
        <v>1324</v>
      </c>
      <c r="L13">
        <v>1334</v>
      </c>
      <c r="M13" t="s">
        <v>556</v>
      </c>
      <c r="N13" t="s">
        <v>325</v>
      </c>
      <c r="O13" s="21" t="s">
        <v>518</v>
      </c>
      <c r="P13" s="27" t="str">
        <f>ROUND(_xlfn.XLOOKUP(G13,产品资料!C:C,产品资料!O:O)*J13,0)&amp;"/"&amp;IFERROR(ROUND(K13/J13/(_xlfn.XLOOKUP(G13,产品资料!C:C,产品资料!N:N)*7.85),2),0)&amp;"/"&amp;L13-K13</f>
        <v>1393/0.76/10</v>
      </c>
    </row>
    <row r="14" spans="1:17" x14ac:dyDescent="0.15">
      <c r="A14">
        <f t="shared" si="5"/>
        <v>13</v>
      </c>
      <c r="B14" s="21">
        <v>46238</v>
      </c>
      <c r="C14" t="s">
        <v>191</v>
      </c>
      <c r="D14" s="24" t="s">
        <v>182</v>
      </c>
      <c r="E14" s="25" t="s">
        <v>203</v>
      </c>
      <c r="F14">
        <v>39407267</v>
      </c>
      <c r="G14" t="s">
        <v>45</v>
      </c>
      <c r="H14" t="str">
        <f>_xlfn.XLOOKUP(G14,产品资料!C:C,产品资料!E:E)</f>
        <v>4609左侧板(0.8MM)</v>
      </c>
      <c r="I14" s="23" t="str">
        <f>_xlfn.XLOOKUP(G14,产品资料!C:C,产品资料!F:F)</f>
        <v>0.8*534.5*789</v>
      </c>
      <c r="J14">
        <v>532</v>
      </c>
      <c r="K14">
        <v>1324</v>
      </c>
      <c r="L14">
        <v>1334</v>
      </c>
      <c r="M14" t="s">
        <v>556</v>
      </c>
      <c r="N14" t="s">
        <v>326</v>
      </c>
      <c r="O14" s="21" t="s">
        <v>498</v>
      </c>
      <c r="P14" s="27" t="str">
        <f>ROUND(_xlfn.XLOOKUP(G14,产品资料!C:C,产品资料!O:O)*J14,0)&amp;"/"&amp;IFERROR(ROUND(K14/J14/(_xlfn.XLOOKUP(G14,产品资料!C:C,产品资料!N:N)*7.85),2),0)&amp;"/"&amp;L14-K14</f>
        <v>1393/0.76/10</v>
      </c>
    </row>
    <row r="15" spans="1:17" x14ac:dyDescent="0.15">
      <c r="A15">
        <f t="shared" si="5"/>
        <v>14</v>
      </c>
      <c r="B15" s="21">
        <v>46238</v>
      </c>
      <c r="C15" t="s">
        <v>191</v>
      </c>
      <c r="D15" s="24" t="s">
        <v>182</v>
      </c>
      <c r="E15" s="25" t="s">
        <v>203</v>
      </c>
      <c r="F15">
        <v>39407267</v>
      </c>
      <c r="G15" t="s">
        <v>45</v>
      </c>
      <c r="H15" t="str">
        <f>_xlfn.XLOOKUP(G15,产品资料!C:C,产品资料!E:E)</f>
        <v>4609左侧板(0.8MM)</v>
      </c>
      <c r="I15" s="23" t="str">
        <f>_xlfn.XLOOKUP(G15,产品资料!C:C,产品资料!F:F)</f>
        <v>0.8*534.5*789</v>
      </c>
      <c r="J15">
        <v>532</v>
      </c>
      <c r="K15">
        <v>1324</v>
      </c>
      <c r="L15">
        <v>1334</v>
      </c>
      <c r="M15" t="s">
        <v>556</v>
      </c>
      <c r="N15" t="s">
        <v>327</v>
      </c>
      <c r="O15" s="21" t="s">
        <v>473</v>
      </c>
      <c r="P15" s="27" t="str">
        <f>ROUND(_xlfn.XLOOKUP(G15,产品资料!C:C,产品资料!O:O)*J15,0)&amp;"/"&amp;IFERROR(ROUND(K15/J15/(_xlfn.XLOOKUP(G15,产品资料!C:C,产品资料!N:N)*7.85),2),0)&amp;"/"&amp;L15-K15</f>
        <v>1393/0.76/10</v>
      </c>
    </row>
    <row r="16" spans="1:17" x14ac:dyDescent="0.15">
      <c r="A16">
        <f t="shared" si="5"/>
        <v>15</v>
      </c>
      <c r="B16" s="21">
        <v>46238</v>
      </c>
      <c r="C16" t="s">
        <v>191</v>
      </c>
      <c r="D16" s="24" t="s">
        <v>182</v>
      </c>
      <c r="E16" s="25" t="s">
        <v>207</v>
      </c>
      <c r="F16">
        <v>39407267</v>
      </c>
      <c r="G16" t="s">
        <v>45</v>
      </c>
      <c r="H16" t="str">
        <f>_xlfn.XLOOKUP(G16,产品资料!C:C,产品资料!E:E)</f>
        <v>4609左侧板(0.8MM)</v>
      </c>
      <c r="I16" s="23" t="str">
        <f>_xlfn.XLOOKUP(G16,产品资料!C:C,产品资料!F:F)</f>
        <v>0.8*534.5*789</v>
      </c>
      <c r="J16">
        <v>523</v>
      </c>
      <c r="K16">
        <v>1300</v>
      </c>
      <c r="L16">
        <v>1310</v>
      </c>
      <c r="M16" t="s">
        <v>556</v>
      </c>
      <c r="N16" t="s">
        <v>328</v>
      </c>
      <c r="O16" s="21" t="s">
        <v>504</v>
      </c>
      <c r="P16" s="27" t="str">
        <f>ROUND(_xlfn.XLOOKUP(G16,产品资料!C:C,产品资料!O:O)*J16,0)&amp;"/"&amp;IFERROR(ROUND(K16/J16/(_xlfn.XLOOKUP(G16,产品资料!C:C,产品资料!N:N)*7.85),2),0)&amp;"/"&amp;L16-K16</f>
        <v>1370/0.76/10</v>
      </c>
    </row>
    <row r="17" spans="1:16" x14ac:dyDescent="0.15">
      <c r="A17">
        <f t="shared" si="5"/>
        <v>16</v>
      </c>
      <c r="B17" s="21">
        <v>46238</v>
      </c>
      <c r="C17" t="s">
        <v>191</v>
      </c>
      <c r="D17" s="24" t="s">
        <v>182</v>
      </c>
      <c r="E17" s="25" t="s">
        <v>207</v>
      </c>
      <c r="F17">
        <v>39407267</v>
      </c>
      <c r="G17" t="s">
        <v>45</v>
      </c>
      <c r="H17" t="str">
        <f>_xlfn.XLOOKUP(G17,产品资料!C:C,产品资料!E:E)</f>
        <v>4609左侧板(0.8MM)</v>
      </c>
      <c r="I17" s="23" t="str">
        <f>_xlfn.XLOOKUP(G17,产品资料!C:C,产品资料!F:F)</f>
        <v>0.8*534.5*789</v>
      </c>
      <c r="J17">
        <v>532</v>
      </c>
      <c r="K17">
        <v>1320</v>
      </c>
      <c r="L17">
        <v>1330</v>
      </c>
      <c r="M17" t="s">
        <v>573</v>
      </c>
      <c r="N17" t="s">
        <v>329</v>
      </c>
      <c r="O17" s="21" t="s">
        <v>507</v>
      </c>
      <c r="P17" s="27" t="str">
        <f>ROUND(_xlfn.XLOOKUP(G17,产品资料!C:C,产品资料!O:O)*J17,0)&amp;"/"&amp;IFERROR(ROUND(K17/J17/(_xlfn.XLOOKUP(G17,产品资料!C:C,产品资料!N:N)*7.85),2),0)&amp;"/"&amp;L17-K17</f>
        <v>1393/0.76/10</v>
      </c>
    </row>
    <row r="18" spans="1:16" x14ac:dyDescent="0.15">
      <c r="A18">
        <f t="shared" si="5"/>
        <v>17</v>
      </c>
      <c r="B18" s="21">
        <v>46238</v>
      </c>
      <c r="C18" t="s">
        <v>191</v>
      </c>
      <c r="D18" s="24" t="s">
        <v>182</v>
      </c>
      <c r="E18" s="25" t="s">
        <v>207</v>
      </c>
      <c r="F18">
        <v>39407267</v>
      </c>
      <c r="G18" t="s">
        <v>95</v>
      </c>
      <c r="H18" t="str">
        <f>_xlfn.XLOOKUP(G18,产品资料!C:C,产品资料!E:E)</f>
        <v>4609顶长拉手（0.8MM ）</v>
      </c>
      <c r="I18" s="23" t="str">
        <f>_xlfn.XLOOKUP(G18,产品资料!C:C,产品资料!F:F)</f>
        <v>0.8*168*1076</v>
      </c>
      <c r="J18">
        <v>1199</v>
      </c>
      <c r="K18">
        <v>1282</v>
      </c>
      <c r="L18">
        <v>1294</v>
      </c>
      <c r="M18" t="s">
        <v>574</v>
      </c>
      <c r="N18" t="s">
        <v>330</v>
      </c>
      <c r="O18" s="21" t="s">
        <v>507</v>
      </c>
      <c r="P18" s="27" t="str">
        <f>ROUND(_xlfn.XLOOKUP(G18,产品资料!C:C,产品资料!O:O)*J18,0)&amp;"/"&amp;IFERROR(ROUND(K18/J18/(_xlfn.XLOOKUP(G18,产品资料!C:C,产品资料!N:N)*7.85),2),0)&amp;"/"&amp;L18-K18</f>
        <v>1357/0.76/12</v>
      </c>
    </row>
    <row r="19" spans="1:16" x14ac:dyDescent="0.15">
      <c r="A19">
        <f t="shared" si="5"/>
        <v>18</v>
      </c>
      <c r="B19" s="21">
        <v>46238</v>
      </c>
      <c r="C19" t="s">
        <v>191</v>
      </c>
      <c r="D19" s="24" t="s">
        <v>182</v>
      </c>
      <c r="E19" s="25" t="s">
        <v>207</v>
      </c>
      <c r="F19">
        <v>39407267</v>
      </c>
      <c r="G19" t="s">
        <v>45</v>
      </c>
      <c r="H19" t="str">
        <f>_xlfn.XLOOKUP(G19,产品资料!C:C,产品资料!E:E)</f>
        <v>4609左侧板(0.8MM)</v>
      </c>
      <c r="I19" s="23" t="str">
        <f>_xlfn.XLOOKUP(G19,产品资料!C:C,产品资料!F:F)</f>
        <v>0.8*534.5*789</v>
      </c>
      <c r="J19">
        <v>532</v>
      </c>
      <c r="K19">
        <v>1320</v>
      </c>
      <c r="L19">
        <v>1330</v>
      </c>
      <c r="M19" t="s">
        <v>573</v>
      </c>
      <c r="N19" t="s">
        <v>331</v>
      </c>
      <c r="O19" s="21" t="s">
        <v>516</v>
      </c>
      <c r="P19" s="27" t="str">
        <f>ROUND(_xlfn.XLOOKUP(G19,产品资料!C:C,产品资料!O:O)*J19,0)&amp;"/"&amp;IFERROR(ROUND(K19/J19/(_xlfn.XLOOKUP(G19,产品资料!C:C,产品资料!N:N)*7.85),2),0)&amp;"/"&amp;L19-K19</f>
        <v>1393/0.76/10</v>
      </c>
    </row>
    <row r="20" spans="1:16" x14ac:dyDescent="0.15">
      <c r="A20">
        <f t="shared" ref="A20:A52" si="6">ROW()-1</f>
        <v>19</v>
      </c>
      <c r="B20" s="21">
        <v>46239</v>
      </c>
      <c r="C20" t="s">
        <v>191</v>
      </c>
      <c r="D20" s="24" t="s">
        <v>182</v>
      </c>
      <c r="E20" s="25" t="s">
        <v>207</v>
      </c>
      <c r="F20">
        <v>39407267</v>
      </c>
      <c r="G20" t="s">
        <v>45</v>
      </c>
      <c r="H20" t="str">
        <f>_xlfn.XLOOKUP(G20,产品资料!C:C,产品资料!E:E)</f>
        <v>4609左侧板(0.8MM)</v>
      </c>
      <c r="I20" s="23" t="str">
        <f>_xlfn.XLOOKUP(G20,产品资料!C:C,产品资料!F:F)</f>
        <v>0.8*534.5*789</v>
      </c>
      <c r="J20">
        <v>532</v>
      </c>
      <c r="K20">
        <v>1320</v>
      </c>
      <c r="L20">
        <v>1330</v>
      </c>
      <c r="M20" t="s">
        <v>573</v>
      </c>
      <c r="N20" t="s">
        <v>332</v>
      </c>
      <c r="O20" s="21" t="s">
        <v>464</v>
      </c>
      <c r="P20" s="27" t="str">
        <f>ROUND(_xlfn.XLOOKUP(G20,产品资料!C:C,产品资料!O:O)*J20,0)&amp;"/"&amp;IFERROR(ROUND(K20/J20/(_xlfn.XLOOKUP(G20,产品资料!C:C,产品资料!N:N)*7.85),2),0)&amp;"/"&amp;L20-K20</f>
        <v>1393/0.76/10</v>
      </c>
    </row>
    <row r="21" spans="1:16" x14ac:dyDescent="0.15">
      <c r="A21">
        <f t="shared" si="6"/>
        <v>20</v>
      </c>
      <c r="B21" s="21">
        <v>46239</v>
      </c>
      <c r="C21" t="s">
        <v>191</v>
      </c>
      <c r="D21" s="24" t="s">
        <v>182</v>
      </c>
      <c r="E21" s="25" t="s">
        <v>207</v>
      </c>
      <c r="F21">
        <v>39407267</v>
      </c>
      <c r="G21" t="s">
        <v>45</v>
      </c>
      <c r="H21" t="str">
        <f>_xlfn.XLOOKUP(G21,产品资料!C:C,产品资料!E:E)</f>
        <v>4609左侧板(0.8MM)</v>
      </c>
      <c r="I21" s="23" t="str">
        <f>_xlfn.XLOOKUP(G21,产品资料!C:C,产品资料!F:F)</f>
        <v>0.8*534.5*789</v>
      </c>
      <c r="J21">
        <v>532</v>
      </c>
      <c r="K21">
        <v>1322</v>
      </c>
      <c r="L21">
        <v>1332</v>
      </c>
      <c r="M21" t="s">
        <v>573</v>
      </c>
      <c r="N21" t="s">
        <v>333</v>
      </c>
      <c r="O21" s="21" t="s">
        <v>486</v>
      </c>
      <c r="P21" s="27" t="str">
        <f>ROUND(_xlfn.XLOOKUP(G21,产品资料!C:C,产品资料!O:O)*J21,0)&amp;"/"&amp;IFERROR(ROUND(K21/J21/(_xlfn.XLOOKUP(G21,产品资料!C:C,产品资料!N:N)*7.85),2),0)&amp;"/"&amp;L21-K21</f>
        <v>1393/0.76/10</v>
      </c>
    </row>
    <row r="22" spans="1:16" x14ac:dyDescent="0.15">
      <c r="A22">
        <f t="shared" si="6"/>
        <v>21</v>
      </c>
      <c r="B22" s="21">
        <v>46239</v>
      </c>
      <c r="C22" t="s">
        <v>191</v>
      </c>
      <c r="D22" s="24" t="s">
        <v>182</v>
      </c>
      <c r="E22" s="25" t="s">
        <v>207</v>
      </c>
      <c r="F22">
        <v>39407267</v>
      </c>
      <c r="G22" t="s">
        <v>45</v>
      </c>
      <c r="H22" t="str">
        <f>_xlfn.XLOOKUP(G22,产品资料!C:C,产品资料!E:E)</f>
        <v>4609左侧板(0.8MM)</v>
      </c>
      <c r="I22" s="23" t="str">
        <f>_xlfn.XLOOKUP(G22,产品资料!C:C,产品资料!F:F)</f>
        <v>0.8*534.5*789</v>
      </c>
      <c r="J22">
        <v>531</v>
      </c>
      <c r="K22">
        <v>1318</v>
      </c>
      <c r="L22">
        <v>1328</v>
      </c>
      <c r="M22" t="s">
        <v>573</v>
      </c>
      <c r="N22" t="s">
        <v>334</v>
      </c>
      <c r="O22" s="21" t="s">
        <v>517</v>
      </c>
      <c r="P22" s="27" t="str">
        <f>ROUND(_xlfn.XLOOKUP(G22,产品资料!C:C,产品资料!O:O)*J22,0)&amp;"/"&amp;IFERROR(ROUND(K22/J22/(_xlfn.XLOOKUP(G22,产品资料!C:C,产品资料!N:N)*7.85),2),0)&amp;"/"&amp;L22-K22</f>
        <v>1391/0.76/10</v>
      </c>
    </row>
    <row r="23" spans="1:16" x14ac:dyDescent="0.15">
      <c r="A23">
        <f t="shared" si="6"/>
        <v>22</v>
      </c>
      <c r="B23" s="21">
        <v>46239</v>
      </c>
      <c r="C23" t="s">
        <v>191</v>
      </c>
      <c r="D23" s="24" t="s">
        <v>182</v>
      </c>
      <c r="E23" s="25" t="s">
        <v>207</v>
      </c>
      <c r="F23">
        <v>39407267</v>
      </c>
      <c r="G23" t="s">
        <v>45</v>
      </c>
      <c r="H23" t="str">
        <f>_xlfn.XLOOKUP(G23,产品资料!C:C,产品资料!E:E)</f>
        <v>4609左侧板(0.8MM)</v>
      </c>
      <c r="I23" s="23" t="str">
        <f>_xlfn.XLOOKUP(G23,产品资料!C:C,产品资料!F:F)</f>
        <v>0.8*534.5*789</v>
      </c>
      <c r="J23">
        <v>512</v>
      </c>
      <c r="K23">
        <v>1270</v>
      </c>
      <c r="L23">
        <v>1280</v>
      </c>
      <c r="M23" t="s">
        <v>573</v>
      </c>
      <c r="N23" t="s">
        <v>335</v>
      </c>
      <c r="O23" s="21" t="s">
        <v>515</v>
      </c>
      <c r="P23" s="27" t="str">
        <f>ROUND(_xlfn.XLOOKUP(G23,产品资料!C:C,产品资料!O:O)*J23,0)&amp;"/"&amp;IFERROR(ROUND(K23/J23/(_xlfn.XLOOKUP(G23,产品资料!C:C,产品资料!N:N)*7.85),2),0)&amp;"/"&amp;L23-K23</f>
        <v>1341/0.76/10</v>
      </c>
    </row>
    <row r="24" spans="1:16" x14ac:dyDescent="0.15">
      <c r="A24">
        <f t="shared" si="6"/>
        <v>23</v>
      </c>
      <c r="B24" s="21">
        <v>46239</v>
      </c>
      <c r="C24" t="s">
        <v>191</v>
      </c>
      <c r="D24" s="24" t="s">
        <v>182</v>
      </c>
      <c r="E24" s="25" t="s">
        <v>207</v>
      </c>
      <c r="F24">
        <v>39407267</v>
      </c>
      <c r="G24" t="s">
        <v>45</v>
      </c>
      <c r="H24" t="str">
        <f>_xlfn.XLOOKUP(G24,产品资料!C:C,产品资料!E:E)</f>
        <v>4609左侧板(0.8MM)</v>
      </c>
      <c r="I24" s="23" t="str">
        <f>_xlfn.XLOOKUP(G24,产品资料!C:C,产品资料!F:F)</f>
        <v>0.8*534.5*789</v>
      </c>
      <c r="J24">
        <v>451</v>
      </c>
      <c r="K24">
        <v>1130</v>
      </c>
      <c r="L24">
        <v>1140</v>
      </c>
      <c r="M24" t="s">
        <v>575</v>
      </c>
      <c r="N24" t="s">
        <v>336</v>
      </c>
      <c r="O24" s="21" t="s">
        <v>576</v>
      </c>
      <c r="P24" s="27" t="str">
        <f>ROUND(_xlfn.XLOOKUP(G24,产品资料!C:C,产品资料!O:O)*J24,0)&amp;"/"&amp;IFERROR(ROUND(K24/J24/(_xlfn.XLOOKUP(G24,产品资料!C:C,产品资料!N:N)*7.85),2),0)&amp;"/"&amp;L24-K24</f>
        <v>1181/0.77/10</v>
      </c>
    </row>
    <row r="25" spans="1:16" x14ac:dyDescent="0.15">
      <c r="A25">
        <f t="shared" si="6"/>
        <v>24</v>
      </c>
      <c r="B25" s="21">
        <v>46239</v>
      </c>
      <c r="C25" t="s">
        <v>191</v>
      </c>
      <c r="D25" s="24" t="s">
        <v>182</v>
      </c>
      <c r="E25" s="25" t="s">
        <v>207</v>
      </c>
      <c r="F25">
        <v>39407267</v>
      </c>
      <c r="G25" t="s">
        <v>125</v>
      </c>
      <c r="H25" t="str">
        <f>_xlfn.XLOOKUP(G25,产品资料!C:C,产品资料!E:E)</f>
        <v>4609大拉手(0.8MM）</v>
      </c>
      <c r="I25" s="23" t="str">
        <f>_xlfn.XLOOKUP(G25,产品资料!C:C,产品资料!F:F)</f>
        <v>0.8*303*515</v>
      </c>
      <c r="J25">
        <v>1045</v>
      </c>
      <c r="K25">
        <v>970</v>
      </c>
      <c r="L25">
        <v>980</v>
      </c>
      <c r="M25" t="s">
        <v>568</v>
      </c>
      <c r="N25" t="s">
        <v>337</v>
      </c>
      <c r="P25" s="27" t="str">
        <f>ROUND(_xlfn.XLOOKUP(G25,产品资料!C:C,产品资料!O:O)*J25,0)&amp;"/"&amp;IFERROR(ROUND(K25/J25/(_xlfn.XLOOKUP(G25,产品资料!C:C,产品资料!N:N)*7.85),2),0)&amp;"/"&amp;L25-K25</f>
        <v>1022/0.76/10</v>
      </c>
    </row>
    <row r="26" spans="1:16" x14ac:dyDescent="0.15">
      <c r="A26">
        <f t="shared" si="6"/>
        <v>25</v>
      </c>
      <c r="B26" s="21">
        <v>46240</v>
      </c>
      <c r="C26" t="s">
        <v>192</v>
      </c>
      <c r="D26" t="s">
        <v>179</v>
      </c>
      <c r="E26" s="25" t="s">
        <v>207</v>
      </c>
      <c r="F26">
        <v>39407267</v>
      </c>
      <c r="G26" t="s">
        <v>35</v>
      </c>
      <c r="H26" t="str">
        <f>_xlfn.XLOOKUP(G26,产品资料!C:C,产品资料!E:E)</f>
        <v>4609顶盖（0.8MM)</v>
      </c>
      <c r="I26" s="23" t="str">
        <f>_xlfn.XLOOKUP(G26,产品资料!C:C,产品资料!F:F)</f>
        <v>0.8*552*1168.5</v>
      </c>
      <c r="J26">
        <v>458</v>
      </c>
      <c r="K26">
        <v>1758</v>
      </c>
      <c r="L26">
        <v>1770</v>
      </c>
      <c r="M26" t="s">
        <v>570</v>
      </c>
      <c r="N26" t="s">
        <v>338</v>
      </c>
      <c r="O26" s="21" t="s">
        <v>491</v>
      </c>
      <c r="P26" s="27" t="str">
        <f>ROUND(_xlfn.XLOOKUP(G26,产品资料!C:C,产品资料!O:O)*J26,0)&amp;"/"&amp;IFERROR(ROUND(K26/J26/(_xlfn.XLOOKUP(G26,产品资料!C:C,产品资料!N:N)*7.85),2),0)&amp;"/"&amp;L26-K26</f>
        <v>1851/0.76/12</v>
      </c>
    </row>
    <row r="27" spans="1:16" x14ac:dyDescent="0.15">
      <c r="A27">
        <f t="shared" si="6"/>
        <v>26</v>
      </c>
      <c r="B27" s="21">
        <v>46240</v>
      </c>
      <c r="C27" t="s">
        <v>189</v>
      </c>
      <c r="D27" t="s">
        <v>182</v>
      </c>
      <c r="E27" s="25" t="s">
        <v>207</v>
      </c>
      <c r="F27">
        <v>39407267</v>
      </c>
      <c r="G27" t="s">
        <v>120</v>
      </c>
      <c r="H27" t="str">
        <f>_xlfn.XLOOKUP(G27,产品资料!C:C,产品资料!E:E)</f>
        <v>4609大抽斗(0.8MM)</v>
      </c>
      <c r="I27" s="23" t="str">
        <f>_xlfn.XLOOKUP(G27,产品资料!C:C,产品资料!F:F)</f>
        <v>0.8*418*919</v>
      </c>
      <c r="J27">
        <v>525</v>
      </c>
      <c r="K27">
        <v>1198</v>
      </c>
      <c r="L27">
        <v>1208</v>
      </c>
      <c r="M27" t="s">
        <v>563</v>
      </c>
      <c r="N27" t="s">
        <v>339</v>
      </c>
      <c r="O27" s="21" t="s">
        <v>454</v>
      </c>
      <c r="P27" s="27" t="str">
        <f>ROUND(_xlfn.XLOOKUP(G27,产品资料!C:C,产品资料!O:O)*J27,0)&amp;"/"&amp;IFERROR(ROUND(K27/J27/(_xlfn.XLOOKUP(G27,产品资料!C:C,产品资料!N:N)*7.85),2),0)&amp;"/"&amp;L27-K27</f>
        <v>1261/0.76/10</v>
      </c>
    </row>
    <row r="28" spans="1:16" x14ac:dyDescent="0.15">
      <c r="A28">
        <f t="shared" si="6"/>
        <v>27</v>
      </c>
      <c r="B28" s="21">
        <v>46240</v>
      </c>
      <c r="C28" t="s">
        <v>189</v>
      </c>
      <c r="D28" t="s">
        <v>182</v>
      </c>
      <c r="E28" s="25" t="s">
        <v>207</v>
      </c>
      <c r="F28">
        <v>39407267</v>
      </c>
      <c r="G28" t="s">
        <v>120</v>
      </c>
      <c r="H28" t="str">
        <f>_xlfn.XLOOKUP(G28,产品资料!C:C,产品资料!E:E)</f>
        <v>4609大抽斗(0.8MM)</v>
      </c>
      <c r="I28" s="23" t="str">
        <f>_xlfn.XLOOKUP(G28,产品资料!C:C,产品资料!F:F)</f>
        <v>0.8*418*919</v>
      </c>
      <c r="J28">
        <v>532</v>
      </c>
      <c r="K28">
        <v>1212</v>
      </c>
      <c r="L28">
        <v>1222</v>
      </c>
      <c r="M28" t="s">
        <v>557</v>
      </c>
      <c r="N28" t="s">
        <v>340</v>
      </c>
      <c r="O28" s="21" t="s">
        <v>480</v>
      </c>
      <c r="P28" s="27" t="str">
        <f>ROUND(_xlfn.XLOOKUP(G28,产品资料!C:C,产品资料!O:O)*J28,0)&amp;"/"&amp;IFERROR(ROUND(K28/J28/(_xlfn.XLOOKUP(G28,产品资料!C:C,产品资料!N:N)*7.85),2),0)&amp;"/"&amp;L28-K28</f>
        <v>1278/0.76/10</v>
      </c>
    </row>
    <row r="29" spans="1:16" x14ac:dyDescent="0.15">
      <c r="A29">
        <f t="shared" si="6"/>
        <v>28</v>
      </c>
      <c r="B29" s="21">
        <v>46240</v>
      </c>
      <c r="C29" t="s">
        <v>189</v>
      </c>
      <c r="D29" t="s">
        <v>182</v>
      </c>
      <c r="E29" s="25" t="s">
        <v>207</v>
      </c>
      <c r="F29">
        <v>39407267</v>
      </c>
      <c r="G29" t="s">
        <v>95</v>
      </c>
      <c r="H29" t="str">
        <f>_xlfn.XLOOKUP(G29,产品资料!C:C,产品资料!E:E)</f>
        <v>4609顶长拉手（0.8MM ）</v>
      </c>
      <c r="I29" s="23" t="str">
        <f>_xlfn.XLOOKUP(G29,产品资料!C:C,产品资料!F:F)</f>
        <v>0.8*168*1076</v>
      </c>
      <c r="J29">
        <v>1226</v>
      </c>
      <c r="K29">
        <v>1302</v>
      </c>
      <c r="L29">
        <v>1316</v>
      </c>
      <c r="M29" t="s">
        <v>569</v>
      </c>
      <c r="N29" t="s">
        <v>341</v>
      </c>
      <c r="O29" s="21" t="s">
        <v>457</v>
      </c>
      <c r="P29" s="27" t="str">
        <f>ROUND(_xlfn.XLOOKUP(G29,产品资料!C:C,产品资料!O:O)*J29,0)&amp;"/"&amp;IFERROR(ROUND(K29/J29/(_xlfn.XLOOKUP(G29,产品资料!C:C,产品资料!N:N)*7.85),2),0)&amp;"/"&amp;L29-K29</f>
        <v>1387/0.75/14</v>
      </c>
    </row>
    <row r="30" spans="1:16" x14ac:dyDescent="0.15">
      <c r="A30">
        <f t="shared" si="6"/>
        <v>29</v>
      </c>
      <c r="B30" s="21">
        <v>46240</v>
      </c>
      <c r="C30" t="s">
        <v>189</v>
      </c>
      <c r="D30" t="s">
        <v>182</v>
      </c>
      <c r="E30" s="25" t="s">
        <v>207</v>
      </c>
      <c r="F30">
        <v>39407267</v>
      </c>
      <c r="G30" t="s">
        <v>120</v>
      </c>
      <c r="H30" t="str">
        <f>_xlfn.XLOOKUP(G30,产品资料!C:C,产品资料!E:E)</f>
        <v>4609大抽斗(0.8MM)</v>
      </c>
      <c r="I30" s="23" t="str">
        <f>_xlfn.XLOOKUP(G30,产品资料!C:C,产品资料!F:F)</f>
        <v>0.8*418*919</v>
      </c>
      <c r="J30">
        <v>531</v>
      </c>
      <c r="K30">
        <v>1210</v>
      </c>
      <c r="L30">
        <v>1220</v>
      </c>
      <c r="M30" t="s">
        <v>557</v>
      </c>
      <c r="N30" t="s">
        <v>342</v>
      </c>
      <c r="O30" s="21" t="s">
        <v>472</v>
      </c>
      <c r="P30" s="27" t="str">
        <f>ROUND(_xlfn.XLOOKUP(G30,产品资料!C:C,产品资料!O:O)*J30,0)&amp;"/"&amp;IFERROR(ROUND(K30/J30/(_xlfn.XLOOKUP(G30,产品资料!C:C,产品资料!N:N)*7.85),2),0)&amp;"/"&amp;L30-K30</f>
        <v>1275/0.76/10</v>
      </c>
    </row>
    <row r="31" spans="1:16" x14ac:dyDescent="0.15">
      <c r="A31">
        <f t="shared" si="6"/>
        <v>30</v>
      </c>
      <c r="B31" s="21">
        <v>46240</v>
      </c>
      <c r="C31" t="s">
        <v>189</v>
      </c>
      <c r="D31" t="s">
        <v>182</v>
      </c>
      <c r="E31" s="25" t="s">
        <v>207</v>
      </c>
      <c r="F31">
        <v>39407267</v>
      </c>
      <c r="G31" t="s">
        <v>120</v>
      </c>
      <c r="H31" t="str">
        <f>_xlfn.XLOOKUP(G31,产品资料!C:C,产品资料!E:E)</f>
        <v>4609大抽斗(0.8MM)</v>
      </c>
      <c r="I31" s="23" t="str">
        <f>_xlfn.XLOOKUP(G31,产品资料!C:C,产品资料!F:F)</f>
        <v>0.8*418*919</v>
      </c>
      <c r="J31">
        <v>532</v>
      </c>
      <c r="K31">
        <v>1212</v>
      </c>
      <c r="L31">
        <v>1222</v>
      </c>
      <c r="M31" t="s">
        <v>557</v>
      </c>
      <c r="N31" t="s">
        <v>343</v>
      </c>
      <c r="O31" s="21" t="s">
        <v>518</v>
      </c>
      <c r="P31" s="27" t="str">
        <f>ROUND(_xlfn.XLOOKUP(G31,产品资料!C:C,产品资料!O:O)*J31,0)&amp;"/"&amp;IFERROR(ROUND(K31/J31/(_xlfn.XLOOKUP(G31,产品资料!C:C,产品资料!N:N)*7.85),2),0)&amp;"/"&amp;L31-K31</f>
        <v>1278/0.76/10</v>
      </c>
    </row>
    <row r="32" spans="1:16" x14ac:dyDescent="0.15">
      <c r="A32">
        <f t="shared" si="6"/>
        <v>31</v>
      </c>
      <c r="B32" s="21">
        <v>46242</v>
      </c>
      <c r="C32" t="s">
        <v>191</v>
      </c>
      <c r="D32" s="24" t="s">
        <v>182</v>
      </c>
      <c r="E32" s="25" t="s">
        <v>207</v>
      </c>
      <c r="F32">
        <v>39407267</v>
      </c>
      <c r="G32" t="s">
        <v>55</v>
      </c>
      <c r="H32" t="str">
        <f>_xlfn.XLOOKUP(G32,产品资料!C:C,产品资料!E:E)</f>
        <v>4609左内垫板(0.8MM)</v>
      </c>
      <c r="I32" s="23" t="str">
        <f>_xlfn.XLOOKUP(G32,产品资料!C:C,产品资料!F:F)</f>
        <v>0.8*152*662</v>
      </c>
      <c r="J32">
        <v>1511</v>
      </c>
      <c r="K32">
        <v>876</v>
      </c>
      <c r="L32">
        <v>886</v>
      </c>
      <c r="M32" t="s">
        <v>577</v>
      </c>
      <c r="N32" t="s">
        <v>344</v>
      </c>
      <c r="O32" s="21" t="s">
        <v>498</v>
      </c>
      <c r="P32" s="27" t="str">
        <f>ROUND(_xlfn.XLOOKUP(G32,产品资料!C:C,产品资料!O:O)*J32,0)&amp;"/"&amp;IFERROR(ROUND(K32/J32/(_xlfn.XLOOKUP(G32,产品资料!C:C,产品资料!N:N)*7.85),2),0)&amp;"/"&amp;L32-K32</f>
        <v>931/0.75/10</v>
      </c>
    </row>
    <row r="33" spans="1:16" x14ac:dyDescent="0.15">
      <c r="A33">
        <f t="shared" si="6"/>
        <v>32</v>
      </c>
      <c r="B33" s="21">
        <v>46242</v>
      </c>
      <c r="C33" t="s">
        <v>191</v>
      </c>
      <c r="D33" s="24" t="s">
        <v>182</v>
      </c>
      <c r="E33" s="25" t="s">
        <v>207</v>
      </c>
      <c r="F33">
        <v>39407267</v>
      </c>
      <c r="G33" t="s">
        <v>120</v>
      </c>
      <c r="H33" t="str">
        <f>_xlfn.XLOOKUP(G33,产品资料!C:C,产品资料!E:E)</f>
        <v>4609大抽斗(0.8MM)</v>
      </c>
      <c r="I33" s="23" t="str">
        <f>_xlfn.XLOOKUP(G33,产品资料!C:C,产品资料!F:F)</f>
        <v>0.8*418*919</v>
      </c>
      <c r="J33">
        <v>531</v>
      </c>
      <c r="K33">
        <v>1210</v>
      </c>
      <c r="L33">
        <v>1220</v>
      </c>
      <c r="M33" t="s">
        <v>557</v>
      </c>
      <c r="N33" t="s">
        <v>345</v>
      </c>
      <c r="O33" s="21" t="s">
        <v>498</v>
      </c>
      <c r="P33" s="27" t="str">
        <f>ROUND(_xlfn.XLOOKUP(G33,产品资料!C:C,产品资料!O:O)*J33,0)&amp;"/"&amp;IFERROR(ROUND(K33/J33/(_xlfn.XLOOKUP(G33,产品资料!C:C,产品资料!N:N)*7.85),2),0)&amp;"/"&amp;L33-K33</f>
        <v>1275/0.76/10</v>
      </c>
    </row>
    <row r="34" spans="1:16" x14ac:dyDescent="0.15">
      <c r="A34">
        <f t="shared" si="6"/>
        <v>33</v>
      </c>
      <c r="B34" s="21">
        <v>46242</v>
      </c>
      <c r="C34" t="s">
        <v>191</v>
      </c>
      <c r="D34" s="24" t="s">
        <v>182</v>
      </c>
      <c r="E34" s="25" t="s">
        <v>215</v>
      </c>
      <c r="F34">
        <v>39407267</v>
      </c>
      <c r="G34" t="s">
        <v>130</v>
      </c>
      <c r="H34" t="str">
        <f>_xlfn.XLOOKUP(G34,产品资料!C:C,产品资料!E:E)</f>
        <v>4609横槽(0.9MM)</v>
      </c>
      <c r="I34" s="23" t="str">
        <f>_xlfn.XLOOKUP(G34,产品资料!C:C,产品资料!F:F)</f>
        <v>0.9*86.5*1168.5</v>
      </c>
      <c r="J34">
        <v>1813</v>
      </c>
      <c r="K34">
        <v>1241</v>
      </c>
      <c r="L34">
        <v>1266</v>
      </c>
      <c r="M34" t="s">
        <v>578</v>
      </c>
      <c r="N34" t="s">
        <v>346</v>
      </c>
      <c r="O34" s="21" t="s">
        <v>519</v>
      </c>
      <c r="P34" s="27" t="str">
        <f>ROUND(_xlfn.XLOOKUP(G34,产品资料!C:C,产品资料!O:O)*J34,0)&amp;"/"&amp;IFERROR(ROUND(K34/J34/(_xlfn.XLOOKUP(G34,产品资料!C:C,产品资料!N:N)*7.85),2),0)&amp;"/"&amp;L34-K34</f>
        <v>1286/0.87/25</v>
      </c>
    </row>
    <row r="35" spans="1:16" x14ac:dyDescent="0.15">
      <c r="A35">
        <f t="shared" si="6"/>
        <v>34</v>
      </c>
      <c r="B35" s="21">
        <v>46244</v>
      </c>
      <c r="C35" t="s">
        <v>191</v>
      </c>
      <c r="D35" s="24" t="s">
        <v>182</v>
      </c>
      <c r="E35" s="25" t="s">
        <v>207</v>
      </c>
      <c r="F35">
        <v>39407267</v>
      </c>
      <c r="G35" t="s">
        <v>120</v>
      </c>
      <c r="H35" t="str">
        <f>_xlfn.XLOOKUP(G35,产品资料!C:C,产品资料!E:E)</f>
        <v>4609大抽斗(0.8MM)</v>
      </c>
      <c r="I35" s="23" t="str">
        <f>_xlfn.XLOOKUP(G35,产品资料!C:C,产品资料!F:F)</f>
        <v>0.8*418*919</v>
      </c>
      <c r="J35">
        <v>518</v>
      </c>
      <c r="K35">
        <v>1180</v>
      </c>
      <c r="L35">
        <v>1190</v>
      </c>
      <c r="M35" t="s">
        <v>579</v>
      </c>
      <c r="N35" t="s">
        <v>347</v>
      </c>
      <c r="O35" s="21" t="s">
        <v>473</v>
      </c>
      <c r="P35" s="27" t="str">
        <f>ROUND(_xlfn.XLOOKUP(G35,产品资料!C:C,产品资料!O:O)*J35,0)&amp;"/"&amp;IFERROR(ROUND(K35/J35/(_xlfn.XLOOKUP(G35,产品资料!C:C,产品资料!N:N)*7.85),2),0)&amp;"/"&amp;L35-K35</f>
        <v>1244/0.76/10</v>
      </c>
    </row>
    <row r="36" spans="1:16" x14ac:dyDescent="0.15">
      <c r="A36">
        <f t="shared" si="6"/>
        <v>35</v>
      </c>
      <c r="B36" s="21">
        <v>46244</v>
      </c>
      <c r="C36" t="s">
        <v>191</v>
      </c>
      <c r="D36" s="24" t="s">
        <v>182</v>
      </c>
      <c r="E36" s="25" t="s">
        <v>207</v>
      </c>
      <c r="F36">
        <v>39407267</v>
      </c>
      <c r="G36" t="s">
        <v>120</v>
      </c>
      <c r="H36" t="str">
        <f>_xlfn.XLOOKUP(G36,产品资料!C:C,产品资料!E:E)</f>
        <v>4609大抽斗(0.8MM)</v>
      </c>
      <c r="I36" s="23" t="str">
        <f>_xlfn.XLOOKUP(G36,产品资料!C:C,产品资料!F:F)</f>
        <v>0.8*418*919</v>
      </c>
      <c r="J36">
        <v>532</v>
      </c>
      <c r="K36">
        <v>1206</v>
      </c>
      <c r="L36">
        <v>1216</v>
      </c>
      <c r="M36" t="s">
        <v>563</v>
      </c>
      <c r="N36" t="s">
        <v>348</v>
      </c>
      <c r="O36" s="21" t="s">
        <v>504</v>
      </c>
      <c r="P36" s="27" t="str">
        <f>ROUND(_xlfn.XLOOKUP(G36,产品资料!C:C,产品资料!O:O)*J36,0)&amp;"/"&amp;IFERROR(ROUND(K36/J36/(_xlfn.XLOOKUP(G36,产品资料!C:C,产品资料!N:N)*7.85),2),0)&amp;"/"&amp;L36-K36</f>
        <v>1278/0.76/10</v>
      </c>
    </row>
    <row r="37" spans="1:16" x14ac:dyDescent="0.15">
      <c r="A37">
        <f t="shared" si="6"/>
        <v>36</v>
      </c>
      <c r="B37" s="21">
        <v>46244</v>
      </c>
      <c r="C37" t="s">
        <v>191</v>
      </c>
      <c r="D37" s="24" t="s">
        <v>182</v>
      </c>
      <c r="E37" s="25" t="s">
        <v>207</v>
      </c>
      <c r="F37">
        <v>39407267</v>
      </c>
      <c r="G37" t="s">
        <v>120</v>
      </c>
      <c r="H37" t="str">
        <f>_xlfn.XLOOKUP(G37,产品资料!C:C,产品资料!E:E)</f>
        <v>4609大抽斗(0.8MM)</v>
      </c>
      <c r="I37" s="23" t="str">
        <f>_xlfn.XLOOKUP(G37,产品资料!C:C,产品资料!F:F)</f>
        <v>0.8*418*919</v>
      </c>
      <c r="J37">
        <v>532</v>
      </c>
      <c r="K37">
        <v>1210</v>
      </c>
      <c r="L37">
        <v>1220</v>
      </c>
      <c r="M37" t="s">
        <v>563</v>
      </c>
      <c r="N37" t="s">
        <v>349</v>
      </c>
      <c r="O37" s="21" t="s">
        <v>507</v>
      </c>
      <c r="P37" s="27" t="str">
        <f>ROUND(_xlfn.XLOOKUP(G37,产品资料!C:C,产品资料!O:O)*J37,0)&amp;"/"&amp;IFERROR(ROUND(K37/J37/(_xlfn.XLOOKUP(G37,产品资料!C:C,产品资料!N:N)*7.85),2),0)&amp;"/"&amp;L37-K37</f>
        <v>1278/0.76/10</v>
      </c>
    </row>
    <row r="38" spans="1:16" x14ac:dyDescent="0.15">
      <c r="A38">
        <f t="shared" si="6"/>
        <v>37</v>
      </c>
      <c r="B38" s="21">
        <v>46244</v>
      </c>
      <c r="C38" t="s">
        <v>192</v>
      </c>
      <c r="D38" s="24" t="s">
        <v>179</v>
      </c>
      <c r="E38" s="25" t="s">
        <v>207</v>
      </c>
      <c r="F38">
        <v>39407267</v>
      </c>
      <c r="G38" t="s">
        <v>35</v>
      </c>
      <c r="H38" t="str">
        <f>_xlfn.XLOOKUP(G38,产品资料!C:C,产品资料!E:E)</f>
        <v>4609顶盖（0.8MM)</v>
      </c>
      <c r="I38" s="23" t="str">
        <f>_xlfn.XLOOKUP(G38,产品资料!C:C,产品资料!F:F)</f>
        <v>0.8*552*1168.5</v>
      </c>
      <c r="J38">
        <v>453</v>
      </c>
      <c r="K38">
        <v>1734</v>
      </c>
      <c r="L38">
        <v>1746</v>
      </c>
      <c r="M38" t="s">
        <v>580</v>
      </c>
      <c r="N38" t="s">
        <v>350</v>
      </c>
      <c r="O38" s="21" t="s">
        <v>501</v>
      </c>
      <c r="P38" s="27" t="str">
        <f>ROUND(_xlfn.XLOOKUP(G38,产品资料!C:C,产品资料!O:O)*J38,0)&amp;"/"&amp;IFERROR(ROUND(K38/J38/(_xlfn.XLOOKUP(G38,产品资料!C:C,产品资料!N:N)*7.85),2),0)&amp;"/"&amp;L38-K38</f>
        <v>1831/0.76/12</v>
      </c>
    </row>
    <row r="39" spans="1:16" x14ac:dyDescent="0.15">
      <c r="A39">
        <f t="shared" si="6"/>
        <v>38</v>
      </c>
      <c r="B39" s="21">
        <v>46245</v>
      </c>
      <c r="C39" t="s">
        <v>191</v>
      </c>
      <c r="D39" s="24" t="s">
        <v>182</v>
      </c>
      <c r="E39" s="25" t="s">
        <v>207</v>
      </c>
      <c r="F39">
        <v>39407267</v>
      </c>
      <c r="G39" t="s">
        <v>120</v>
      </c>
      <c r="H39" t="str">
        <f>_xlfn.XLOOKUP(G39,产品资料!C:C,产品资料!E:E)</f>
        <v>4609大抽斗(0.8MM)</v>
      </c>
      <c r="I39" s="23" t="str">
        <f>_xlfn.XLOOKUP(G39,产品资料!C:C,产品资料!F:F)</f>
        <v>0.8*418*919</v>
      </c>
      <c r="J39">
        <v>532</v>
      </c>
      <c r="K39">
        <v>1210</v>
      </c>
      <c r="L39">
        <v>1220</v>
      </c>
      <c r="M39" t="s">
        <v>563</v>
      </c>
      <c r="N39" t="s">
        <v>351</v>
      </c>
      <c r="O39" s="21" t="s">
        <v>516</v>
      </c>
      <c r="P39" s="27" t="str">
        <f>ROUND(_xlfn.XLOOKUP(G39,产品资料!C:C,产品资料!O:O)*J39,0)&amp;"/"&amp;IFERROR(ROUND(K39/J39/(_xlfn.XLOOKUP(G39,产品资料!C:C,产品资料!N:N)*7.85),2),0)&amp;"/"&amp;L39-K39</f>
        <v>1278/0.76/10</v>
      </c>
    </row>
    <row r="40" spans="1:16" x14ac:dyDescent="0.15">
      <c r="A40">
        <f t="shared" si="6"/>
        <v>39</v>
      </c>
      <c r="B40" s="21">
        <v>46245</v>
      </c>
      <c r="C40" t="s">
        <v>191</v>
      </c>
      <c r="D40" s="24" t="s">
        <v>182</v>
      </c>
      <c r="E40" s="25" t="s">
        <v>207</v>
      </c>
      <c r="F40">
        <v>39407267</v>
      </c>
      <c r="G40" t="s">
        <v>120</v>
      </c>
      <c r="H40" t="str">
        <f>_xlfn.XLOOKUP(G40,产品资料!C:C,产品资料!E:E)</f>
        <v>4609大抽斗(0.8MM)</v>
      </c>
      <c r="I40" s="23" t="str">
        <f>_xlfn.XLOOKUP(G40,产品资料!C:C,产品资料!F:F)</f>
        <v>0.8*418*919</v>
      </c>
      <c r="J40">
        <v>531</v>
      </c>
      <c r="K40">
        <v>1210</v>
      </c>
      <c r="L40">
        <v>1220</v>
      </c>
      <c r="M40" t="s">
        <v>563</v>
      </c>
      <c r="N40" t="s">
        <v>352</v>
      </c>
      <c r="O40" s="21" t="s">
        <v>464</v>
      </c>
      <c r="P40" s="27" t="str">
        <f>ROUND(_xlfn.XLOOKUP(G40,产品资料!C:C,产品资料!O:O)*J40,0)&amp;"/"&amp;IFERROR(ROUND(K40/J40/(_xlfn.XLOOKUP(G40,产品资料!C:C,产品资料!N:N)*7.85),2),0)&amp;"/"&amp;L40-K40</f>
        <v>1275/0.76/10</v>
      </c>
    </row>
    <row r="41" spans="1:16" x14ac:dyDescent="0.15">
      <c r="A41">
        <f t="shared" si="6"/>
        <v>40</v>
      </c>
      <c r="B41" s="21">
        <v>46245</v>
      </c>
      <c r="C41" t="s">
        <v>191</v>
      </c>
      <c r="D41" s="24" t="s">
        <v>182</v>
      </c>
      <c r="E41" s="25" t="s">
        <v>207</v>
      </c>
      <c r="F41">
        <v>39407267</v>
      </c>
      <c r="G41" t="s">
        <v>55</v>
      </c>
      <c r="H41" t="str">
        <f>_xlfn.XLOOKUP(G41,产品资料!C:C,产品资料!E:E)</f>
        <v>4609左内垫板(0.8MM)</v>
      </c>
      <c r="I41" s="23" t="str">
        <f>_xlfn.XLOOKUP(G41,产品资料!C:C,产品资料!F:F)</f>
        <v>0.8*152*662</v>
      </c>
      <c r="J41">
        <v>1508</v>
      </c>
      <c r="K41">
        <v>874</v>
      </c>
      <c r="L41">
        <v>884</v>
      </c>
      <c r="M41" t="s">
        <v>577</v>
      </c>
      <c r="N41" t="s">
        <v>353</v>
      </c>
      <c r="O41" s="21" t="s">
        <v>464</v>
      </c>
      <c r="P41" s="27" t="str">
        <f>ROUND(_xlfn.XLOOKUP(G41,产品资料!C:C,产品资料!O:O)*J41,0)&amp;"/"&amp;IFERROR(ROUND(K41/J41/(_xlfn.XLOOKUP(G41,产品资料!C:C,产品资料!N:N)*7.85),2),0)&amp;"/"&amp;L41-K41</f>
        <v>929/0.75/10</v>
      </c>
    </row>
    <row r="42" spans="1:16" x14ac:dyDescent="0.15">
      <c r="A42">
        <f t="shared" si="6"/>
        <v>41</v>
      </c>
      <c r="B42" s="21">
        <v>46245</v>
      </c>
      <c r="C42" t="s">
        <v>191</v>
      </c>
      <c r="D42" s="24" t="s">
        <v>182</v>
      </c>
      <c r="E42" s="25" t="s">
        <v>207</v>
      </c>
      <c r="F42">
        <v>39407267</v>
      </c>
      <c r="G42" t="s">
        <v>95</v>
      </c>
      <c r="H42" t="str">
        <f>_xlfn.XLOOKUP(G42,产品资料!C:C,产品资料!E:E)</f>
        <v>4609顶长拉手（0.8MM ）</v>
      </c>
      <c r="I42" s="23" t="str">
        <f>_xlfn.XLOOKUP(G42,产品资料!C:C,产品资料!F:F)</f>
        <v>0.8*168*1076</v>
      </c>
      <c r="J42">
        <v>1238</v>
      </c>
      <c r="K42">
        <v>1321</v>
      </c>
      <c r="L42">
        <v>1336</v>
      </c>
      <c r="M42" t="s">
        <v>581</v>
      </c>
      <c r="N42" t="s">
        <v>354</v>
      </c>
      <c r="O42" s="21" t="s">
        <v>560</v>
      </c>
      <c r="P42" s="27" t="str">
        <f>ROUND(_xlfn.XLOOKUP(G42,产品资料!C:C,产品资料!O:O)*J42,0)&amp;"/"&amp;IFERROR(ROUND(K42/J42/(_xlfn.XLOOKUP(G42,产品资料!C:C,产品资料!N:N)*7.85),2),0)&amp;"/"&amp;L42-K42</f>
        <v>1401/0.75/15</v>
      </c>
    </row>
    <row r="43" spans="1:16" x14ac:dyDescent="0.15">
      <c r="A43">
        <f t="shared" si="6"/>
        <v>42</v>
      </c>
      <c r="B43" s="21">
        <v>46246</v>
      </c>
      <c r="C43" t="s">
        <v>191</v>
      </c>
      <c r="D43" s="24" t="s">
        <v>182</v>
      </c>
      <c r="E43" s="25" t="s">
        <v>207</v>
      </c>
      <c r="F43">
        <v>39407267</v>
      </c>
      <c r="G43" t="s">
        <v>50</v>
      </c>
      <c r="H43" t="str">
        <f>_xlfn.XLOOKUP(G43,产品资料!C:C,产品资料!E:E)</f>
        <v>4609后盖板(0.8MM)</v>
      </c>
      <c r="I43" s="23" t="str">
        <f>_xlfn.XLOOKUP(G43,产品资料!C:C,产品资料!F:F)</f>
        <v>0.8*770.5*1168.5</v>
      </c>
      <c r="J43">
        <v>334</v>
      </c>
      <c r="K43">
        <v>1794</v>
      </c>
      <c r="L43">
        <v>1806</v>
      </c>
      <c r="M43" t="s">
        <v>482</v>
      </c>
      <c r="N43" t="s">
        <v>355</v>
      </c>
      <c r="O43" s="21" t="s">
        <v>458</v>
      </c>
      <c r="P43" s="27" t="str">
        <f>ROUND(_xlfn.XLOOKUP(G43,产品资料!C:C,产品资料!O:O)*J43,0)&amp;"/"&amp;IFERROR(ROUND(K43/J43/(_xlfn.XLOOKUP(G43,产品资料!C:C,产品资料!N:N)*7.85),2),0)&amp;"/"&amp;L43-K43</f>
        <v>1888/0.76/12</v>
      </c>
    </row>
    <row r="44" spans="1:16" x14ac:dyDescent="0.15">
      <c r="A44">
        <f t="shared" si="6"/>
        <v>43</v>
      </c>
      <c r="B44" s="21">
        <v>46246</v>
      </c>
      <c r="C44" t="s">
        <v>191</v>
      </c>
      <c r="D44" s="24" t="s">
        <v>182</v>
      </c>
      <c r="E44" s="25" t="s">
        <v>207</v>
      </c>
      <c r="F44">
        <v>39407267</v>
      </c>
      <c r="G44" t="s">
        <v>60</v>
      </c>
      <c r="H44" t="str">
        <f>_xlfn.XLOOKUP(G44,产品资料!C:C,产品资料!E:E)</f>
        <v>4609后内垫板大槽(0.8MM)</v>
      </c>
      <c r="I44" s="23" t="str">
        <f>_xlfn.XLOOKUP(G44,产品资料!C:C,产品资料!F:F)</f>
        <v>0.8*145*754.5</v>
      </c>
      <c r="J44">
        <v>1458</v>
      </c>
      <c r="K44">
        <v>942</v>
      </c>
      <c r="L44">
        <v>952</v>
      </c>
      <c r="M44" t="s">
        <v>582</v>
      </c>
      <c r="N44" t="s">
        <v>356</v>
      </c>
      <c r="O44" s="21" t="s">
        <v>493</v>
      </c>
      <c r="P44" s="27" t="str">
        <f>ROUND(_xlfn.XLOOKUP(G44,产品资料!C:C,产品资料!O:O)*J44,0)&amp;"/"&amp;IFERROR(ROUND(K44/J44/(_xlfn.XLOOKUP(G44,产品资料!C:C,产品资料!N:N)*7.85),2),0)&amp;"/"&amp;L44-K44</f>
        <v>1001/0.75/10</v>
      </c>
    </row>
    <row r="45" spans="1:16" x14ac:dyDescent="0.15">
      <c r="A45">
        <f t="shared" si="6"/>
        <v>44</v>
      </c>
      <c r="B45" s="21">
        <v>46246</v>
      </c>
      <c r="C45" t="s">
        <v>191</v>
      </c>
      <c r="D45" s="24" t="s">
        <v>182</v>
      </c>
      <c r="E45" s="25" t="s">
        <v>207</v>
      </c>
      <c r="F45">
        <v>39407267</v>
      </c>
      <c r="G45" t="s">
        <v>115</v>
      </c>
      <c r="H45" t="str">
        <f>_xlfn.XLOOKUP(G45,产品资料!C:C,产品资料!E:E)</f>
        <v>4609中拉手(0.8MM）</v>
      </c>
      <c r="I45" s="23" t="str">
        <f>_xlfn.XLOOKUP(G45,产品资料!C:C,产品资料!F:F)</f>
        <v>0.8*155*515</v>
      </c>
      <c r="J45">
        <v>1829</v>
      </c>
      <c r="K45">
        <v>860</v>
      </c>
      <c r="L45">
        <v>870</v>
      </c>
      <c r="M45" t="s">
        <v>583</v>
      </c>
      <c r="N45" t="s">
        <v>357</v>
      </c>
      <c r="O45" s="21" t="s">
        <v>493</v>
      </c>
      <c r="P45" s="27" t="str">
        <f>ROUND(_xlfn.XLOOKUP(G45,产品资料!C:C,产品资料!O:O)*J45,0)&amp;"/"&amp;IFERROR(ROUND(K45/J45/(_xlfn.XLOOKUP(G45,产品资料!C:C,产品资料!N:N)*7.85),2),0)&amp;"/"&amp;L45-K45</f>
        <v>913/0.75/10</v>
      </c>
    </row>
    <row r="46" spans="1:16" x14ac:dyDescent="0.15">
      <c r="A46">
        <f t="shared" si="6"/>
        <v>45</v>
      </c>
      <c r="B46" s="21">
        <v>46246</v>
      </c>
      <c r="C46" t="s">
        <v>191</v>
      </c>
      <c r="D46" s="24" t="s">
        <v>182</v>
      </c>
      <c r="E46" s="25" t="s">
        <v>207</v>
      </c>
      <c r="F46">
        <v>39407267</v>
      </c>
      <c r="G46" t="s">
        <v>50</v>
      </c>
      <c r="H46" t="str">
        <f>_xlfn.XLOOKUP(G46,产品资料!C:C,产品资料!E:E)</f>
        <v>4609后盖板(0.8MM)</v>
      </c>
      <c r="I46" s="23" t="str">
        <f>_xlfn.XLOOKUP(G46,产品资料!C:C,产品资料!F:F)</f>
        <v>0.8*770.5*1168.5</v>
      </c>
      <c r="J46">
        <v>336</v>
      </c>
      <c r="K46">
        <v>1808</v>
      </c>
      <c r="L46">
        <v>1820</v>
      </c>
      <c r="M46" t="s">
        <v>482</v>
      </c>
      <c r="N46" t="s">
        <v>358</v>
      </c>
      <c r="O46" s="21" t="s">
        <v>490</v>
      </c>
      <c r="P46" s="27" t="str">
        <f>ROUND(_xlfn.XLOOKUP(G46,产品资料!C:C,产品资料!O:O)*J46,0)&amp;"/"&amp;IFERROR(ROUND(K46/J46/(_xlfn.XLOOKUP(G46,产品资料!C:C,产品资料!N:N)*7.85),2),0)&amp;"/"&amp;L46-K46</f>
        <v>1899/0.76/12</v>
      </c>
    </row>
    <row r="47" spans="1:16" x14ac:dyDescent="0.15">
      <c r="A47">
        <f t="shared" si="6"/>
        <v>46</v>
      </c>
      <c r="B47" s="21">
        <v>46246</v>
      </c>
      <c r="C47" t="s">
        <v>191</v>
      </c>
      <c r="D47" s="24" t="s">
        <v>182</v>
      </c>
      <c r="E47" s="25" t="s">
        <v>207</v>
      </c>
      <c r="F47">
        <v>39407267</v>
      </c>
      <c r="G47" t="s">
        <v>50</v>
      </c>
      <c r="H47" t="str">
        <f>_xlfn.XLOOKUP(G47,产品资料!C:C,产品资料!E:E)</f>
        <v>4609后盖板(0.8MM)</v>
      </c>
      <c r="I47" s="23" t="str">
        <f>_xlfn.XLOOKUP(G47,产品资料!C:C,产品资料!F:F)</f>
        <v>0.8*770.5*1168.5</v>
      </c>
      <c r="J47">
        <v>336</v>
      </c>
      <c r="K47">
        <v>1808</v>
      </c>
      <c r="L47">
        <v>1820</v>
      </c>
      <c r="M47" t="s">
        <v>482</v>
      </c>
      <c r="N47" t="s">
        <v>359</v>
      </c>
      <c r="O47" s="21" t="s">
        <v>481</v>
      </c>
      <c r="P47" s="27" t="str">
        <f>ROUND(_xlfn.XLOOKUP(G47,产品资料!C:C,产品资料!O:O)*J47,0)&amp;"/"&amp;IFERROR(ROUND(K47/J47/(_xlfn.XLOOKUP(G47,产品资料!C:C,产品资料!N:N)*7.85),2),0)&amp;"/"&amp;L47-K47</f>
        <v>1899/0.76/12</v>
      </c>
    </row>
    <row r="48" spans="1:16" x14ac:dyDescent="0.15">
      <c r="A48">
        <f t="shared" si="6"/>
        <v>47</v>
      </c>
      <c r="B48" s="21">
        <v>46246</v>
      </c>
      <c r="C48" t="s">
        <v>192</v>
      </c>
      <c r="D48" s="24" t="s">
        <v>179</v>
      </c>
      <c r="E48" s="25" t="s">
        <v>207</v>
      </c>
      <c r="F48">
        <v>39407267</v>
      </c>
      <c r="G48" t="s">
        <v>40</v>
      </c>
      <c r="H48" t="str">
        <f>_xlfn.XLOOKUP(G48,产品资料!C:C,产品资料!E:E)</f>
        <v>4609底盖（0.8MM)</v>
      </c>
      <c r="I48" s="23" t="str">
        <f>_xlfn.XLOOKUP(G48,产品资料!C:C,产品资料!F:F)</f>
        <v>0.8*552.5*1211</v>
      </c>
      <c r="J48">
        <v>458</v>
      </c>
      <c r="K48">
        <v>1804</v>
      </c>
      <c r="L48">
        <v>1816</v>
      </c>
      <c r="M48" t="s">
        <v>584</v>
      </c>
      <c r="N48" t="s">
        <v>360</v>
      </c>
      <c r="O48" s="21" t="s">
        <v>465</v>
      </c>
      <c r="P48" s="27" t="str">
        <f>ROUND(_xlfn.XLOOKUP(G48,产品资料!C:C,产品资料!O:O)*J48,0)&amp;"/"&amp;IFERROR(ROUND(K48/J48/(_xlfn.XLOOKUP(G48,产品资料!C:C,产品资料!N:N)*7.85),2),0)&amp;"/"&amp;L48-K48</f>
        <v>1904/0.76/12</v>
      </c>
    </row>
    <row r="49" spans="1:16" x14ac:dyDescent="0.15">
      <c r="A49">
        <f t="shared" si="6"/>
        <v>48</v>
      </c>
      <c r="B49" s="21">
        <v>46247</v>
      </c>
      <c r="C49" t="s">
        <v>191</v>
      </c>
      <c r="D49" s="24" t="s">
        <v>182</v>
      </c>
      <c r="E49" s="25" t="s">
        <v>207</v>
      </c>
      <c r="F49">
        <v>39407267</v>
      </c>
      <c r="G49" t="s">
        <v>105</v>
      </c>
      <c r="H49" t="str">
        <f>_xlfn.XLOOKUP(G49,产品资料!C:C,产品资料!E:E)</f>
        <v>4609小拉手(0.8MM）</v>
      </c>
      <c r="I49" s="23" t="str">
        <f>_xlfn.XLOOKUP(G49,产品资料!C:C,产品资料!F:F)</f>
        <v>0.8*142*515</v>
      </c>
      <c r="J49">
        <v>2101</v>
      </c>
      <c r="K49">
        <v>906</v>
      </c>
      <c r="L49">
        <v>916</v>
      </c>
      <c r="M49" t="s">
        <v>552</v>
      </c>
      <c r="N49" t="s">
        <v>361</v>
      </c>
      <c r="O49" s="21" t="s">
        <v>459</v>
      </c>
      <c r="P49" s="27" t="str">
        <f>ROUND(_xlfn.XLOOKUP(G49,产品资料!C:C,产品资料!O:O)*J49,0)&amp;"/"&amp;IFERROR(ROUND(K49/J49/(_xlfn.XLOOKUP(G49,产品资料!C:C,产品资料!N:N)*7.85),2),0)&amp;"/"&amp;L49-K49</f>
        <v>960/0.75/10</v>
      </c>
    </row>
    <row r="50" spans="1:16" x14ac:dyDescent="0.15">
      <c r="A50">
        <f t="shared" si="6"/>
        <v>49</v>
      </c>
      <c r="B50" s="21">
        <v>46247</v>
      </c>
      <c r="C50" t="s">
        <v>191</v>
      </c>
      <c r="D50" s="24" t="s">
        <v>182</v>
      </c>
      <c r="E50" s="25" t="s">
        <v>207</v>
      </c>
      <c r="F50">
        <v>39407267</v>
      </c>
      <c r="G50" t="s">
        <v>25</v>
      </c>
      <c r="H50" t="str">
        <f>_xlfn.XLOOKUP(G50,产品资料!C:C,产品资料!E:E)</f>
        <v>4609底盖大加强板(0.8MM)</v>
      </c>
      <c r="I50" s="23" t="str">
        <f>_xlfn.XLOOKUP(G50,产品资料!C:C,产品资料!F:F)</f>
        <v>0.8*172*1162</v>
      </c>
      <c r="J50">
        <v>1198</v>
      </c>
      <c r="K50">
        <v>1411</v>
      </c>
      <c r="L50">
        <v>1426</v>
      </c>
      <c r="M50" t="s">
        <v>585</v>
      </c>
      <c r="N50" t="s">
        <v>362</v>
      </c>
      <c r="O50" s="21" t="s">
        <v>510</v>
      </c>
      <c r="P50" s="27" t="str">
        <f>ROUND(_xlfn.XLOOKUP(G50,产品资料!C:C,产品资料!O:O)*J50,0)&amp;"/"&amp;IFERROR(ROUND(K50/J50/(_xlfn.XLOOKUP(G50,产品资料!C:C,产品资料!N:N)*7.85),2),0)&amp;"/"&amp;L50-K50</f>
        <v>1494/0.76/15</v>
      </c>
    </row>
    <row r="51" spans="1:16" x14ac:dyDescent="0.15">
      <c r="A51">
        <f t="shared" si="6"/>
        <v>50</v>
      </c>
      <c r="B51" s="21">
        <v>46247</v>
      </c>
      <c r="C51" t="s">
        <v>191</v>
      </c>
      <c r="D51" s="24" t="s">
        <v>182</v>
      </c>
      <c r="E51" s="25" t="s">
        <v>207</v>
      </c>
      <c r="F51">
        <v>39407267</v>
      </c>
      <c r="G51" t="s">
        <v>50</v>
      </c>
      <c r="H51" t="str">
        <f>_xlfn.XLOOKUP(G51,产品资料!C:C,产品资料!E:E)</f>
        <v>4609后盖板(0.8MM)</v>
      </c>
      <c r="I51" s="23" t="str">
        <f>_xlfn.XLOOKUP(G51,产品资料!C:C,产品资料!F:F)</f>
        <v>0.8*770.5*1168.5</v>
      </c>
      <c r="J51">
        <v>325</v>
      </c>
      <c r="K51">
        <v>1742</v>
      </c>
      <c r="L51">
        <v>1754</v>
      </c>
      <c r="M51" t="s">
        <v>586</v>
      </c>
      <c r="N51" t="s">
        <v>363</v>
      </c>
      <c r="O51" s="21" t="s">
        <v>471</v>
      </c>
      <c r="P51" s="27" t="str">
        <f>ROUND(_xlfn.XLOOKUP(G51,产品资料!C:C,产品资料!O:O)*J51,0)&amp;"/"&amp;IFERROR(ROUND(K51/J51/(_xlfn.XLOOKUP(G51,产品资料!C:C,产品资料!N:N)*7.85),2),0)&amp;"/"&amp;L51-K51</f>
        <v>1837/0.76/12</v>
      </c>
    </row>
    <row r="52" spans="1:16" x14ac:dyDescent="0.15">
      <c r="A52">
        <f t="shared" si="6"/>
        <v>51</v>
      </c>
      <c r="B52" s="21">
        <v>46248</v>
      </c>
      <c r="C52" t="s">
        <v>191</v>
      </c>
      <c r="D52" s="24" t="s">
        <v>182</v>
      </c>
      <c r="E52" s="25" t="s">
        <v>207</v>
      </c>
      <c r="F52">
        <v>39407267</v>
      </c>
      <c r="G52" t="s">
        <v>50</v>
      </c>
      <c r="H52" t="str">
        <f>_xlfn.XLOOKUP(G52,产品资料!C:C,产品资料!E:E)</f>
        <v>4609后盖板(0.8MM)</v>
      </c>
      <c r="I52" s="23" t="str">
        <f>_xlfn.XLOOKUP(G52,产品资料!C:C,产品资料!F:F)</f>
        <v>0.8*770.5*1168.5</v>
      </c>
      <c r="J52">
        <v>336</v>
      </c>
      <c r="K52">
        <v>1806</v>
      </c>
      <c r="L52">
        <v>1818</v>
      </c>
      <c r="M52" t="s">
        <v>482</v>
      </c>
      <c r="N52" t="s">
        <v>364</v>
      </c>
      <c r="O52" s="21" t="s">
        <v>460</v>
      </c>
      <c r="P52" s="27" t="str">
        <f>ROUND(_xlfn.XLOOKUP(G52,产品资料!C:C,产品资料!O:O)*J52,0)&amp;"/"&amp;IFERROR(ROUND(K52/J52/(_xlfn.XLOOKUP(G52,产品资料!C:C,产品资料!N:N)*7.85),2),0)&amp;"/"&amp;L52-K52</f>
        <v>1899/0.76/12</v>
      </c>
    </row>
    <row r="53" spans="1:16" x14ac:dyDescent="0.15">
      <c r="A53">
        <f t="shared" ref="A53:A57" si="7">ROW()-1</f>
        <v>52</v>
      </c>
      <c r="B53" s="21">
        <v>46248</v>
      </c>
      <c r="C53" t="s">
        <v>191</v>
      </c>
      <c r="D53" s="24" t="s">
        <v>182</v>
      </c>
      <c r="E53" s="25" t="s">
        <v>207</v>
      </c>
      <c r="F53">
        <v>39407267</v>
      </c>
      <c r="G53" t="s">
        <v>60</v>
      </c>
      <c r="H53" t="str">
        <f>_xlfn.XLOOKUP(G53,产品资料!C:C,产品资料!E:E)</f>
        <v>4609后内垫板大槽(0.8MM)</v>
      </c>
      <c r="I53" s="23" t="str">
        <f>_xlfn.XLOOKUP(G53,产品资料!C:C,产品资料!F:F)</f>
        <v>0.8*145*754.5</v>
      </c>
      <c r="J53">
        <v>1460</v>
      </c>
      <c r="K53">
        <v>948</v>
      </c>
      <c r="L53">
        <v>958</v>
      </c>
      <c r="M53" t="s">
        <v>535</v>
      </c>
      <c r="N53" t="s">
        <v>365</v>
      </c>
      <c r="O53" s="21" t="s">
        <v>508</v>
      </c>
      <c r="P53" s="27" t="str">
        <f>ROUND(_xlfn.XLOOKUP(G53,产品资料!C:C,产品资料!O:O)*J53,0)&amp;"/"&amp;IFERROR(ROUND(K53/J53/(_xlfn.XLOOKUP(G53,产品资料!C:C,产品资料!N:N)*7.85),2),0)&amp;"/"&amp;L53-K53</f>
        <v>1002/0.76/10</v>
      </c>
    </row>
    <row r="54" spans="1:16" x14ac:dyDescent="0.15">
      <c r="A54">
        <f t="shared" si="7"/>
        <v>53</v>
      </c>
      <c r="B54" s="21">
        <v>46248</v>
      </c>
      <c r="C54" t="s">
        <v>191</v>
      </c>
      <c r="D54" s="24" t="s">
        <v>182</v>
      </c>
      <c r="E54" s="25" t="s">
        <v>207</v>
      </c>
      <c r="F54">
        <v>39407267</v>
      </c>
      <c r="G54" t="s">
        <v>100</v>
      </c>
      <c r="H54" t="str">
        <f>_xlfn.XLOOKUP(G54,产品资料!C:C,产品资料!E:E)</f>
        <v>4609小抽斗(0.8MM)</v>
      </c>
      <c r="I54" s="23" t="str">
        <f>_xlfn.XLOOKUP(G54,产品资料!C:C,产品资料!F:F)</f>
        <v>0.8*418*603</v>
      </c>
      <c r="J54">
        <v>992</v>
      </c>
      <c r="K54">
        <v>1480</v>
      </c>
      <c r="L54">
        <v>1490</v>
      </c>
      <c r="M54" t="s">
        <v>546</v>
      </c>
      <c r="N54" t="s">
        <v>366</v>
      </c>
      <c r="O54" s="21" t="s">
        <v>468</v>
      </c>
      <c r="P54" s="27" t="str">
        <f>ROUND(_xlfn.XLOOKUP(G54,产品资料!C:C,产品资料!O:O)*J54,0)&amp;"/"&amp;IFERROR(ROUND(K54/J54/(_xlfn.XLOOKUP(G54,产品资料!C:C,产品资料!N:N)*7.85),2),0)&amp;"/"&amp;L54-K54</f>
        <v>1560/0.76/10</v>
      </c>
    </row>
    <row r="55" spans="1:16" x14ac:dyDescent="0.15">
      <c r="A55">
        <f t="shared" si="7"/>
        <v>54</v>
      </c>
      <c r="B55" s="21">
        <v>46248</v>
      </c>
      <c r="C55" t="s">
        <v>191</v>
      </c>
      <c r="D55" s="24" t="s">
        <v>182</v>
      </c>
      <c r="E55" s="25" t="s">
        <v>228</v>
      </c>
      <c r="F55">
        <v>39407267</v>
      </c>
      <c r="G55" t="s">
        <v>50</v>
      </c>
      <c r="H55" t="str">
        <f>_xlfn.XLOOKUP(G55,产品资料!C:C,产品资料!E:E)</f>
        <v>4609后盖板(0.8MM)</v>
      </c>
      <c r="I55" s="23" t="str">
        <f>_xlfn.XLOOKUP(G55,产品资料!C:C,产品资料!F:F)</f>
        <v>0.8*770.5*1168.5</v>
      </c>
      <c r="J55">
        <v>336</v>
      </c>
      <c r="K55">
        <v>1810</v>
      </c>
      <c r="L55">
        <v>1822</v>
      </c>
      <c r="M55" t="s">
        <v>482</v>
      </c>
      <c r="N55" t="s">
        <v>367</v>
      </c>
      <c r="O55" s="21" t="s">
        <v>468</v>
      </c>
      <c r="P55" s="27" t="str">
        <f>ROUND(_xlfn.XLOOKUP(G55,产品资料!C:C,产品资料!O:O)*J55,0)&amp;"/"&amp;IFERROR(ROUND(K55/J55/(_xlfn.XLOOKUP(G55,产品资料!C:C,产品资料!N:N)*7.85),2),0)&amp;"/"&amp;L55-K55</f>
        <v>1899/0.76/12</v>
      </c>
    </row>
    <row r="56" spans="1:16" x14ac:dyDescent="0.15">
      <c r="A56">
        <f t="shared" si="7"/>
        <v>55</v>
      </c>
      <c r="B56" s="21">
        <v>46248</v>
      </c>
      <c r="C56" t="s">
        <v>191</v>
      </c>
      <c r="D56" s="24" t="s">
        <v>182</v>
      </c>
      <c r="E56" s="25" t="s">
        <v>225</v>
      </c>
      <c r="F56">
        <v>39407267</v>
      </c>
      <c r="G56" t="s">
        <v>105</v>
      </c>
      <c r="H56" t="str">
        <f>_xlfn.XLOOKUP(G56,产品资料!C:C,产品资料!E:E)</f>
        <v>4609小拉手(0.8MM）</v>
      </c>
      <c r="I56" s="23" t="str">
        <f>_xlfn.XLOOKUP(G56,产品资料!C:C,产品资料!F:F)</f>
        <v>0.8*142*515</v>
      </c>
      <c r="J56">
        <v>2097</v>
      </c>
      <c r="K56">
        <v>904</v>
      </c>
      <c r="L56">
        <v>914</v>
      </c>
      <c r="M56" t="s">
        <v>552</v>
      </c>
      <c r="N56" t="s">
        <v>368</v>
      </c>
      <c r="O56" s="21" t="s">
        <v>513</v>
      </c>
      <c r="P56" s="27" t="str">
        <f>ROUND(_xlfn.XLOOKUP(G56,产品资料!C:C,产品资料!O:O)*J56,0)&amp;"/"&amp;IFERROR(ROUND(K56/J56/(_xlfn.XLOOKUP(G56,产品资料!C:C,产品资料!N:N)*7.85),2),0)&amp;"/"&amp;L56-K56</f>
        <v>959/0.75/10</v>
      </c>
    </row>
    <row r="57" spans="1:16" x14ac:dyDescent="0.15">
      <c r="A57">
        <f t="shared" si="7"/>
        <v>56</v>
      </c>
      <c r="B57" s="21">
        <v>46248</v>
      </c>
      <c r="C57" t="s">
        <v>191</v>
      </c>
      <c r="D57" s="24" t="s">
        <v>182</v>
      </c>
      <c r="E57" s="25" t="s">
        <v>225</v>
      </c>
      <c r="F57">
        <v>39407267</v>
      </c>
      <c r="G57" t="s">
        <v>110</v>
      </c>
      <c r="H57" t="str">
        <f>_xlfn.XLOOKUP(G57,产品资料!C:C,产品资料!E:E)</f>
        <v>4609中抽斗(0.8MM)</v>
      </c>
      <c r="I57" s="23" t="str">
        <f>_xlfn.XLOOKUP(G57,产品资料!C:C,产品资料!F:F)</f>
        <v>0.8*418*639</v>
      </c>
      <c r="J57">
        <v>1045</v>
      </c>
      <c r="K57">
        <v>1652</v>
      </c>
      <c r="L57">
        <v>1662</v>
      </c>
      <c r="M57" t="s">
        <v>587</v>
      </c>
      <c r="N57" t="s">
        <v>369</v>
      </c>
      <c r="O57" s="21" t="s">
        <v>513</v>
      </c>
      <c r="P57" s="27" t="str">
        <f>ROUND(_xlfn.XLOOKUP(G57,产品资料!C:C,产品资料!O:O)*J57,0)&amp;"/"&amp;IFERROR(ROUND(K57/J57/(_xlfn.XLOOKUP(G57,产品资料!C:C,产品资料!N:N)*7.85),2),0)&amp;"/"&amp;L57-K57</f>
        <v>1742/0.76/10</v>
      </c>
    </row>
    <row r="58" spans="1:16" x14ac:dyDescent="0.15">
      <c r="A58">
        <f t="shared" ref="A58:A65" si="8">ROW()-1</f>
        <v>57</v>
      </c>
      <c r="B58" s="21">
        <v>46249</v>
      </c>
      <c r="C58" t="s">
        <v>191</v>
      </c>
      <c r="D58" s="24" t="s">
        <v>182</v>
      </c>
      <c r="E58" s="25" t="s">
        <v>225</v>
      </c>
      <c r="F58">
        <v>39407267</v>
      </c>
      <c r="G58" t="s">
        <v>50</v>
      </c>
      <c r="H58" t="str">
        <f>_xlfn.XLOOKUP(G58,产品资料!C:C,产品资料!E:E)</f>
        <v>4609后盖板(0.8MM)</v>
      </c>
      <c r="I58" s="23" t="str">
        <f>_xlfn.XLOOKUP(G58,产品资料!C:C,产品资料!F:F)</f>
        <v>0.8*770.5*1168.5</v>
      </c>
      <c r="J58">
        <v>329</v>
      </c>
      <c r="K58">
        <v>1768</v>
      </c>
      <c r="L58">
        <v>1780</v>
      </c>
      <c r="M58" t="s">
        <v>586</v>
      </c>
      <c r="N58" t="s">
        <v>370</v>
      </c>
      <c r="O58" s="21" t="s">
        <v>525</v>
      </c>
      <c r="P58" s="27" t="str">
        <f>ROUND(_xlfn.XLOOKUP(G58,产品资料!C:C,产品资料!O:O)*J58,0)&amp;"/"&amp;IFERROR(ROUND(K58/J58/(_xlfn.XLOOKUP(G58,产品资料!C:C,产品资料!N:N)*7.85),2),0)&amp;"/"&amp;L58-K58</f>
        <v>1860/0.76/12</v>
      </c>
    </row>
    <row r="59" spans="1:16" x14ac:dyDescent="0.15">
      <c r="A59">
        <f t="shared" si="8"/>
        <v>58</v>
      </c>
      <c r="B59" s="21">
        <v>46249</v>
      </c>
      <c r="C59" t="s">
        <v>191</v>
      </c>
      <c r="D59" s="24" t="s">
        <v>182</v>
      </c>
      <c r="E59" s="25" t="s">
        <v>225</v>
      </c>
      <c r="F59">
        <v>39407267</v>
      </c>
      <c r="G59" t="s">
        <v>25</v>
      </c>
      <c r="H59" t="str">
        <f>_xlfn.XLOOKUP(G59,产品资料!C:C,产品资料!E:E)</f>
        <v>4609底盖大加强板(0.8MM)</v>
      </c>
      <c r="I59" s="23" t="str">
        <f>_xlfn.XLOOKUP(G59,产品资料!C:C,产品资料!F:F)</f>
        <v>0.8*172*1162</v>
      </c>
      <c r="J59">
        <v>1212</v>
      </c>
      <c r="K59">
        <v>1425</v>
      </c>
      <c r="L59">
        <v>1440</v>
      </c>
      <c r="M59" t="s">
        <v>585</v>
      </c>
      <c r="N59" t="s">
        <v>528</v>
      </c>
      <c r="O59" s="21" t="s">
        <v>466</v>
      </c>
      <c r="P59" s="27" t="str">
        <f>ROUND(_xlfn.XLOOKUP(G59,产品资料!C:C,产品资料!O:O)*J59,0)&amp;"/"&amp;IFERROR(ROUND(K59/J59/(_xlfn.XLOOKUP(G59,产品资料!C:C,产品资料!N:N)*7.85),2),0)&amp;"/"&amp;L59-K59</f>
        <v>1511/0.75/15</v>
      </c>
    </row>
    <row r="60" spans="1:16" x14ac:dyDescent="0.15">
      <c r="A60">
        <f t="shared" si="8"/>
        <v>59</v>
      </c>
      <c r="B60" s="21">
        <v>46249</v>
      </c>
      <c r="C60" t="s">
        <v>191</v>
      </c>
      <c r="D60" s="24" t="s">
        <v>182</v>
      </c>
      <c r="E60" s="25" t="s">
        <v>225</v>
      </c>
      <c r="F60">
        <v>39407267</v>
      </c>
      <c r="G60" t="s">
        <v>50</v>
      </c>
      <c r="H60" t="str">
        <f>_xlfn.XLOOKUP(G60,产品资料!C:C,产品资料!E:E)</f>
        <v>4609后盖板(0.8MM)</v>
      </c>
      <c r="I60" s="23" t="str">
        <f>_xlfn.XLOOKUP(G60,产品资料!C:C,产品资料!F:F)</f>
        <v>0.8*770.5*1168.5</v>
      </c>
      <c r="J60">
        <v>336</v>
      </c>
      <c r="K60">
        <v>1806</v>
      </c>
      <c r="L60">
        <v>1818</v>
      </c>
      <c r="M60" t="s">
        <v>482</v>
      </c>
      <c r="N60" t="s">
        <v>547</v>
      </c>
      <c r="O60" s="21" t="s">
        <v>522</v>
      </c>
      <c r="P60" s="27" t="str">
        <f>ROUND(_xlfn.XLOOKUP(G60,产品资料!C:C,产品资料!O:O)*J60,0)&amp;"/"&amp;IFERROR(ROUND(K60/J60/(_xlfn.XLOOKUP(G60,产品资料!C:C,产品资料!N:N)*7.85),2),0)&amp;"/"&amp;L60-K60</f>
        <v>1899/0.76/12</v>
      </c>
    </row>
    <row r="61" spans="1:16" x14ac:dyDescent="0.15">
      <c r="A61">
        <f t="shared" si="8"/>
        <v>60</v>
      </c>
      <c r="B61" s="21">
        <v>46249</v>
      </c>
      <c r="C61" t="s">
        <v>191</v>
      </c>
      <c r="D61" s="24" t="s">
        <v>182</v>
      </c>
      <c r="E61" s="25" t="s">
        <v>225</v>
      </c>
      <c r="F61">
        <v>39407267</v>
      </c>
      <c r="G61" t="s">
        <v>50</v>
      </c>
      <c r="H61" t="str">
        <f>_xlfn.XLOOKUP(G61,产品资料!C:C,产品资料!E:E)</f>
        <v>4609后盖板(0.8MM)</v>
      </c>
      <c r="I61" s="23" t="str">
        <f>_xlfn.XLOOKUP(G61,产品资料!C:C,产品资料!F:F)</f>
        <v>0.8*770.5*1168.5</v>
      </c>
      <c r="J61">
        <v>336</v>
      </c>
      <c r="K61">
        <v>1806</v>
      </c>
      <c r="L61">
        <v>1818</v>
      </c>
      <c r="M61" t="s">
        <v>482</v>
      </c>
      <c r="N61" t="s">
        <v>371</v>
      </c>
      <c r="O61" s="21" t="s">
        <v>526</v>
      </c>
      <c r="P61" s="27" t="str">
        <f>ROUND(_xlfn.XLOOKUP(G61,产品资料!C:C,产品资料!O:O)*J61,0)&amp;"/"&amp;IFERROR(ROUND(K61/J61/(_xlfn.XLOOKUP(G61,产品资料!C:C,产品资料!N:N)*7.85),2),0)&amp;"/"&amp;L61-K61</f>
        <v>1899/0.76/12</v>
      </c>
    </row>
    <row r="62" spans="1:16" x14ac:dyDescent="0.15">
      <c r="A62">
        <f t="shared" si="8"/>
        <v>61</v>
      </c>
      <c r="B62" s="21">
        <v>46251</v>
      </c>
      <c r="C62" t="s">
        <v>189</v>
      </c>
      <c r="D62" s="24" t="s">
        <v>182</v>
      </c>
      <c r="E62" s="25" t="s">
        <v>225</v>
      </c>
      <c r="F62">
        <v>39407267</v>
      </c>
      <c r="G62" t="s">
        <v>105</v>
      </c>
      <c r="H62" t="str">
        <f>_xlfn.XLOOKUP(G62,产品资料!C:C,产品资料!E:E)</f>
        <v>4609小拉手(0.8MM）</v>
      </c>
      <c r="I62" s="23" t="str">
        <f>_xlfn.XLOOKUP(G62,产品资料!C:C,产品资料!F:F)</f>
        <v>0.8*142*515</v>
      </c>
      <c r="J62">
        <v>2081</v>
      </c>
      <c r="K62">
        <v>900</v>
      </c>
      <c r="L62">
        <v>910</v>
      </c>
      <c r="M62" t="s">
        <v>551</v>
      </c>
      <c r="N62" t="s">
        <v>372</v>
      </c>
      <c r="O62" s="21" t="s">
        <v>588</v>
      </c>
      <c r="P62" s="27" t="str">
        <f>ROUND(_xlfn.XLOOKUP(G62,产品资料!C:C,产品资料!O:O)*J62,0)&amp;"/"&amp;IFERROR(ROUND(K62/J62/(_xlfn.XLOOKUP(G62,产品资料!C:C,产品资料!N:N)*7.85),2),0)&amp;"/"&amp;L62-K62</f>
        <v>951/0.76/10</v>
      </c>
    </row>
    <row r="63" spans="1:16" x14ac:dyDescent="0.15">
      <c r="A63">
        <f t="shared" si="8"/>
        <v>62</v>
      </c>
      <c r="B63" s="21">
        <v>46251</v>
      </c>
      <c r="C63" t="s">
        <v>189</v>
      </c>
      <c r="D63" s="24" t="s">
        <v>182</v>
      </c>
      <c r="E63" s="25" t="s">
        <v>228</v>
      </c>
      <c r="F63">
        <v>39407267</v>
      </c>
      <c r="G63" t="s">
        <v>50</v>
      </c>
      <c r="H63" t="str">
        <f>_xlfn.XLOOKUP(G63,产品资料!C:C,产品资料!E:E)</f>
        <v>4609后盖板(0.8MM)</v>
      </c>
      <c r="I63" s="23" t="str">
        <f>_xlfn.XLOOKUP(G63,产品资料!C:C,产品资料!F:F)</f>
        <v>0.8*770.5*1168.5</v>
      </c>
      <c r="J63">
        <v>332</v>
      </c>
      <c r="K63">
        <v>1784</v>
      </c>
      <c r="L63">
        <v>1796</v>
      </c>
      <c r="M63" t="s">
        <v>482</v>
      </c>
      <c r="N63" t="s">
        <v>373</v>
      </c>
      <c r="O63" s="21" t="s">
        <v>461</v>
      </c>
      <c r="P63" s="27" t="str">
        <f>ROUND(_xlfn.XLOOKUP(G63,产品资料!C:C,产品资料!O:O)*J63,0)&amp;"/"&amp;IFERROR(ROUND(K63/J63/(_xlfn.XLOOKUP(G63,产品资料!C:C,产品资料!N:N)*7.85),2),0)&amp;"/"&amp;L63-K63</f>
        <v>1877/0.76/12</v>
      </c>
    </row>
    <row r="64" spans="1:16" x14ac:dyDescent="0.15">
      <c r="A64">
        <f t="shared" si="8"/>
        <v>63</v>
      </c>
      <c r="B64" s="21">
        <v>46251</v>
      </c>
      <c r="C64" t="s">
        <v>189</v>
      </c>
      <c r="D64" s="24" t="s">
        <v>182</v>
      </c>
      <c r="E64" s="25" t="s">
        <v>228</v>
      </c>
      <c r="F64">
        <v>39407267</v>
      </c>
      <c r="G64" t="s">
        <v>60</v>
      </c>
      <c r="H64" t="str">
        <f>_xlfn.XLOOKUP(G64,产品资料!C:C,产品资料!E:E)</f>
        <v>4609后内垫板大槽(0.8MM)</v>
      </c>
      <c r="I64" s="23" t="str">
        <f>_xlfn.XLOOKUP(G64,产品资料!C:C,产品资料!F:F)</f>
        <v>0.8*145*754.5</v>
      </c>
      <c r="J64">
        <v>1463</v>
      </c>
      <c r="K64">
        <v>950</v>
      </c>
      <c r="L64">
        <v>960</v>
      </c>
      <c r="M64" t="s">
        <v>535</v>
      </c>
      <c r="N64" t="s">
        <v>374</v>
      </c>
      <c r="O64" s="21" t="s">
        <v>589</v>
      </c>
      <c r="P64" s="27" t="str">
        <f>ROUND(_xlfn.XLOOKUP(G64,产品资料!C:C,产品资料!O:O)*J64,0)&amp;"/"&amp;IFERROR(ROUND(K64/J64/(_xlfn.XLOOKUP(G64,产品资料!C:C,产品资料!N:N)*7.85),2),0)&amp;"/"&amp;L64-K64</f>
        <v>1004/0.76/10</v>
      </c>
    </row>
    <row r="65" spans="1:16" x14ac:dyDescent="0.15">
      <c r="A65">
        <f t="shared" si="8"/>
        <v>64</v>
      </c>
      <c r="B65" s="21">
        <v>46251</v>
      </c>
      <c r="C65" t="s">
        <v>189</v>
      </c>
      <c r="D65" s="24" t="s">
        <v>182</v>
      </c>
      <c r="E65" s="25" t="s">
        <v>228</v>
      </c>
      <c r="F65">
        <v>39407267</v>
      </c>
      <c r="G65" t="s">
        <v>50</v>
      </c>
      <c r="H65" t="str">
        <f>_xlfn.XLOOKUP(G65,产品资料!C:C,产品资料!E:E)</f>
        <v>4609后盖板(0.8MM)</v>
      </c>
      <c r="I65" s="23" t="str">
        <f>_xlfn.XLOOKUP(G65,产品资料!C:C,产品资料!F:F)</f>
        <v>0.8*770.5*1168.5</v>
      </c>
      <c r="J65">
        <v>327</v>
      </c>
      <c r="K65">
        <v>1772</v>
      </c>
      <c r="L65">
        <v>1784</v>
      </c>
      <c r="M65" t="s">
        <v>590</v>
      </c>
      <c r="N65" t="s">
        <v>375</v>
      </c>
      <c r="O65" s="21" t="s">
        <v>591</v>
      </c>
      <c r="P65" s="27" t="str">
        <f>ROUND(_xlfn.XLOOKUP(G65,产品资料!C:C,产品资料!O:O)*J65,0)&amp;"/"&amp;IFERROR(ROUND(K65/J65/(_xlfn.XLOOKUP(G65,产品资料!C:C,产品资料!N:N)*7.85),2),0)&amp;"/"&amp;L65-K65</f>
        <v>1849/0.77/12</v>
      </c>
    </row>
    <row r="66" spans="1:16" x14ac:dyDescent="0.15">
      <c r="A66">
        <f t="shared" ref="A66:A77" si="9">ROW()-1</f>
        <v>65</v>
      </c>
      <c r="B66" s="21">
        <v>46251</v>
      </c>
      <c r="C66" t="s">
        <v>189</v>
      </c>
      <c r="D66" t="s">
        <v>182</v>
      </c>
      <c r="E66" s="25" t="s">
        <v>228</v>
      </c>
      <c r="F66">
        <v>39407267</v>
      </c>
      <c r="G66" t="s">
        <v>75</v>
      </c>
      <c r="H66" t="str">
        <f>_xlfn.XLOOKUP(G66,产品资料!C:C,产品资料!E:E)</f>
        <v>4609中隔内垫板大槽(0.8MM)</v>
      </c>
      <c r="I66" s="23" t="str">
        <f>_xlfn.XLOOKUP(G66,产品资料!C:C,产品资料!F:F)</f>
        <v>0.8*137*550</v>
      </c>
      <c r="J66">
        <v>1811</v>
      </c>
      <c r="K66">
        <v>808</v>
      </c>
      <c r="L66">
        <v>816</v>
      </c>
      <c r="M66" t="s">
        <v>592</v>
      </c>
      <c r="N66" t="s">
        <v>378</v>
      </c>
      <c r="O66" s="21" t="s">
        <v>591</v>
      </c>
      <c r="P66" s="27" t="str">
        <f>ROUND(_xlfn.XLOOKUP(G66,产品资料!C:C,产品资料!O:O)*J66,0)&amp;"/"&amp;IFERROR(ROUND(K66/J66/(_xlfn.XLOOKUP(G66,产品资料!C:C,产品资料!N:N)*7.85),2),0)&amp;"/"&amp;L66-K66</f>
        <v>856/0.75/8</v>
      </c>
    </row>
    <row r="67" spans="1:16" x14ac:dyDescent="0.15">
      <c r="A67">
        <f t="shared" si="9"/>
        <v>66</v>
      </c>
      <c r="B67" s="21">
        <v>46251</v>
      </c>
      <c r="C67" t="s">
        <v>189</v>
      </c>
      <c r="D67" t="s">
        <v>182</v>
      </c>
      <c r="E67" s="25" t="s">
        <v>228</v>
      </c>
      <c r="F67">
        <v>39407267</v>
      </c>
      <c r="G67" t="s">
        <v>120</v>
      </c>
      <c r="H67" t="str">
        <f>_xlfn.XLOOKUP(G67,产品资料!C:C,产品资料!E:E)</f>
        <v>4609大抽斗(0.8MM)</v>
      </c>
      <c r="I67" s="23" t="str">
        <f>_xlfn.XLOOKUP(G67,产品资料!C:C,产品资料!F:F)</f>
        <v>0.8*418*919</v>
      </c>
      <c r="J67">
        <v>505</v>
      </c>
      <c r="K67">
        <v>1146</v>
      </c>
      <c r="L67">
        <v>1156</v>
      </c>
      <c r="M67" t="s">
        <v>593</v>
      </c>
      <c r="N67" t="s">
        <v>379</v>
      </c>
      <c r="O67" s="21" t="s">
        <v>503</v>
      </c>
      <c r="P67" s="27" t="str">
        <f>ROUND(_xlfn.XLOOKUP(G67,产品资料!C:C,产品资料!O:O)*J67,0)&amp;"/"&amp;IFERROR(ROUND(K67/J67/(_xlfn.XLOOKUP(G67,产品资料!C:C,产品资料!N:N)*7.85),2),0)&amp;"/"&amp;L67-K67</f>
        <v>1213/0.76/10</v>
      </c>
    </row>
    <row r="68" spans="1:16" x14ac:dyDescent="0.15">
      <c r="A68">
        <f t="shared" si="9"/>
        <v>67</v>
      </c>
      <c r="B68" s="21">
        <v>46251</v>
      </c>
      <c r="C68" t="s">
        <v>190</v>
      </c>
      <c r="D68" t="s">
        <v>179</v>
      </c>
      <c r="E68" s="25" t="s">
        <v>228</v>
      </c>
      <c r="F68">
        <v>39407267</v>
      </c>
      <c r="G68" t="s">
        <v>40</v>
      </c>
      <c r="H68" t="str">
        <f>_xlfn.XLOOKUP(G68,产品资料!C:C,产品资料!E:E)</f>
        <v>4609底盖（0.8MM)</v>
      </c>
      <c r="I68" s="23" t="str">
        <f>_xlfn.XLOOKUP(G68,产品资料!C:C,产品资料!F:F)</f>
        <v>0.8*552.5*1211</v>
      </c>
      <c r="J68">
        <v>464</v>
      </c>
      <c r="K68">
        <v>1828</v>
      </c>
      <c r="L68">
        <v>1840</v>
      </c>
      <c r="M68" t="s">
        <v>594</v>
      </c>
      <c r="N68" t="s">
        <v>384</v>
      </c>
      <c r="O68" s="21" t="s">
        <v>539</v>
      </c>
      <c r="P68" s="27" t="str">
        <f>ROUND(_xlfn.XLOOKUP(G68,产品资料!C:C,产品资料!O:O)*J68,0)&amp;"/"&amp;IFERROR(ROUND(K68/J68/(_xlfn.XLOOKUP(G68,产品资料!C:C,产品资料!N:N)*7.85),2),0)&amp;"/"&amp;L68-K68</f>
        <v>1929/0.76/12</v>
      </c>
    </row>
    <row r="69" spans="1:16" x14ac:dyDescent="0.15">
      <c r="A69">
        <f t="shared" si="9"/>
        <v>68</v>
      </c>
      <c r="B69" s="21">
        <v>46252</v>
      </c>
      <c r="C69" t="s">
        <v>189</v>
      </c>
      <c r="D69" t="s">
        <v>182</v>
      </c>
      <c r="E69" s="25" t="s">
        <v>228</v>
      </c>
      <c r="F69">
        <v>39407267</v>
      </c>
      <c r="G69" t="s">
        <v>115</v>
      </c>
      <c r="H69" t="str">
        <f>_xlfn.XLOOKUP(G69,产品资料!C:C,产品资料!E:E)</f>
        <v>4609中拉手(0.8MM）</v>
      </c>
      <c r="I69" s="23" t="str">
        <f>_xlfn.XLOOKUP(G69,产品资料!C:C,产品资料!F:F)</f>
        <v>0.8*155*515</v>
      </c>
      <c r="J69">
        <v>1833</v>
      </c>
      <c r="K69">
        <v>864</v>
      </c>
      <c r="L69">
        <v>874</v>
      </c>
      <c r="M69" t="s">
        <v>595</v>
      </c>
      <c r="N69" t="s">
        <v>385</v>
      </c>
      <c r="O69" s="21" t="s">
        <v>467</v>
      </c>
      <c r="P69" s="27" t="str">
        <f>ROUND(_xlfn.XLOOKUP(G69,产品资料!C:C,产品资料!O:O)*J69,0)&amp;"/"&amp;IFERROR(ROUND(K69/J69/(_xlfn.XLOOKUP(G69,产品资料!C:C,产品资料!N:N)*7.85),2),0)&amp;"/"&amp;L69-K69</f>
        <v>915/0.76/10</v>
      </c>
    </row>
    <row r="70" spans="1:16" x14ac:dyDescent="0.15">
      <c r="A70">
        <f t="shared" si="9"/>
        <v>69</v>
      </c>
      <c r="B70" s="21">
        <v>46252</v>
      </c>
      <c r="C70" t="s">
        <v>189</v>
      </c>
      <c r="D70" t="s">
        <v>182</v>
      </c>
      <c r="E70" s="25" t="s">
        <v>228</v>
      </c>
      <c r="F70">
        <v>39407267</v>
      </c>
      <c r="G70" t="s">
        <v>120</v>
      </c>
      <c r="H70" t="str">
        <f>_xlfn.XLOOKUP(G70,产品资料!C:C,产品资料!E:E)</f>
        <v>4609大抽斗(0.8MM)</v>
      </c>
      <c r="I70" s="23" t="str">
        <f>_xlfn.XLOOKUP(G70,产品资料!C:C,产品资料!F:F)</f>
        <v>0.8*418*919</v>
      </c>
      <c r="J70">
        <v>504</v>
      </c>
      <c r="K70">
        <v>1146</v>
      </c>
      <c r="L70">
        <v>1156</v>
      </c>
      <c r="M70" t="s">
        <v>596</v>
      </c>
      <c r="N70" t="s">
        <v>386</v>
      </c>
      <c r="O70" s="21" t="s">
        <v>455</v>
      </c>
      <c r="P70" s="27" t="str">
        <f>ROUND(_xlfn.XLOOKUP(G70,产品资料!C:C,产品资料!O:O)*J70,0)&amp;"/"&amp;IFERROR(ROUND(K70/J70/(_xlfn.XLOOKUP(G70,产品资料!C:C,产品资料!N:N)*7.85),2),0)&amp;"/"&amp;L70-K70</f>
        <v>1210/0.76/10</v>
      </c>
    </row>
    <row r="71" spans="1:16" x14ac:dyDescent="0.15">
      <c r="A71">
        <f t="shared" si="9"/>
        <v>70</v>
      </c>
      <c r="B71" s="21">
        <v>46252</v>
      </c>
      <c r="C71" t="s">
        <v>189</v>
      </c>
      <c r="D71" t="s">
        <v>182</v>
      </c>
      <c r="E71" s="25" t="s">
        <v>228</v>
      </c>
      <c r="F71">
        <v>39407267</v>
      </c>
      <c r="G71" t="s">
        <v>100</v>
      </c>
      <c r="H71" t="str">
        <f>_xlfn.XLOOKUP(G71,产品资料!C:C,产品资料!E:E)</f>
        <v>4609小抽斗(0.8MM)</v>
      </c>
      <c r="I71" s="23" t="str">
        <f>_xlfn.XLOOKUP(G71,产品资料!C:C,产品资料!F:F)</f>
        <v>0.8*418*603</v>
      </c>
      <c r="J71">
        <v>981</v>
      </c>
      <c r="K71">
        <v>1458</v>
      </c>
      <c r="L71">
        <v>1470</v>
      </c>
      <c r="M71" t="s">
        <v>597</v>
      </c>
      <c r="N71" t="s">
        <v>474</v>
      </c>
      <c r="O71" s="21" t="s">
        <v>488</v>
      </c>
      <c r="P71" s="27" t="str">
        <f>ROUND(_xlfn.XLOOKUP(G71,产品资料!C:C,产品资料!O:O)*J71,0)&amp;"/"&amp;IFERROR(ROUND(K71/J71/(_xlfn.XLOOKUP(G71,产品资料!C:C,产品资料!N:N)*7.85),2),0)&amp;"/"&amp;L71-K71</f>
        <v>1543/0.76/12</v>
      </c>
    </row>
    <row r="72" spans="1:16" x14ac:dyDescent="0.15">
      <c r="A72">
        <f t="shared" si="9"/>
        <v>71</v>
      </c>
      <c r="B72" s="21">
        <v>46252</v>
      </c>
      <c r="C72" t="s">
        <v>189</v>
      </c>
      <c r="D72" t="s">
        <v>182</v>
      </c>
      <c r="E72" s="25" t="s">
        <v>228</v>
      </c>
      <c r="F72">
        <v>39407267</v>
      </c>
      <c r="G72" t="s">
        <v>120</v>
      </c>
      <c r="H72" t="str">
        <f>_xlfn.XLOOKUP(G72,产品资料!C:C,产品资料!E:E)</f>
        <v>4609大抽斗(0.8MM)</v>
      </c>
      <c r="I72" s="23" t="str">
        <f>_xlfn.XLOOKUP(G72,产品资料!C:C,产品资料!F:F)</f>
        <v>0.8*418*919</v>
      </c>
      <c r="J72">
        <v>510</v>
      </c>
      <c r="K72">
        <v>1172</v>
      </c>
      <c r="L72">
        <v>1182</v>
      </c>
      <c r="M72" t="s">
        <v>598</v>
      </c>
      <c r="N72" t="s">
        <v>475</v>
      </c>
      <c r="O72" s="21" t="s">
        <v>527</v>
      </c>
      <c r="P72" s="27" t="str">
        <f>ROUND(_xlfn.XLOOKUP(G72,产品资料!C:C,产品资料!O:O)*J72,0)&amp;"/"&amp;IFERROR(ROUND(K72/J72/(_xlfn.XLOOKUP(G72,产品资料!C:C,产品资料!N:N)*7.85),2),0)&amp;"/"&amp;L72-K72</f>
        <v>1225/0.77/10</v>
      </c>
    </row>
    <row r="73" spans="1:16" x14ac:dyDescent="0.15">
      <c r="A73">
        <f t="shared" si="9"/>
        <v>72</v>
      </c>
      <c r="B73" s="21">
        <v>46252</v>
      </c>
      <c r="C73" t="s">
        <v>189</v>
      </c>
      <c r="D73" t="s">
        <v>182</v>
      </c>
      <c r="E73" s="25" t="s">
        <v>228</v>
      </c>
      <c r="F73">
        <v>39407267</v>
      </c>
      <c r="G73" t="s">
        <v>25</v>
      </c>
      <c r="H73" t="str">
        <f>_xlfn.XLOOKUP(G73,产品资料!C:C,产品资料!E:E)</f>
        <v>4609底盖大加强板(0.8MM)</v>
      </c>
      <c r="I73" s="23" t="str">
        <f>_xlfn.XLOOKUP(G73,产品资料!C:C,产品资料!F:F)</f>
        <v>0.8*172*1162</v>
      </c>
      <c r="J73">
        <v>1253</v>
      </c>
      <c r="K73">
        <v>1472</v>
      </c>
      <c r="L73">
        <v>1486</v>
      </c>
      <c r="M73" t="s">
        <v>599</v>
      </c>
      <c r="N73" t="s">
        <v>476</v>
      </c>
      <c r="O73" s="21" t="s">
        <v>560</v>
      </c>
      <c r="P73" s="27" t="str">
        <f>ROUND(_xlfn.XLOOKUP(G73,产品资料!C:C,产品资料!O:O)*J73,0)&amp;"/"&amp;IFERROR(ROUND(K73/J73/(_xlfn.XLOOKUP(G73,产品资料!C:C,产品资料!N:N)*7.85),2),0)&amp;"/"&amp;L73-K73</f>
        <v>1562/0.75/14</v>
      </c>
    </row>
    <row r="74" spans="1:16" x14ac:dyDescent="0.15">
      <c r="A74">
        <f t="shared" si="9"/>
        <v>73</v>
      </c>
      <c r="B74" s="21">
        <v>46252</v>
      </c>
      <c r="C74" t="s">
        <v>189</v>
      </c>
      <c r="D74" t="s">
        <v>182</v>
      </c>
      <c r="E74" s="25" t="s">
        <v>228</v>
      </c>
      <c r="F74">
        <v>39407267</v>
      </c>
      <c r="G74" t="s">
        <v>110</v>
      </c>
      <c r="H74" t="str">
        <f>_xlfn.XLOOKUP(G74,产品资料!C:C,产品资料!E:E)</f>
        <v>4609中抽斗(0.8MM)</v>
      </c>
      <c r="I74" s="23" t="str">
        <f>_xlfn.XLOOKUP(G74,产品资料!C:C,产品资料!F:F)</f>
        <v>0.8*418*639</v>
      </c>
      <c r="J74">
        <v>1054</v>
      </c>
      <c r="K74">
        <v>1656</v>
      </c>
      <c r="L74">
        <v>1668</v>
      </c>
      <c r="M74" t="s">
        <v>600</v>
      </c>
      <c r="N74" t="s">
        <v>477</v>
      </c>
      <c r="O74" s="21" t="s">
        <v>523</v>
      </c>
      <c r="P74" s="27" t="str">
        <f>ROUND(_xlfn.XLOOKUP(G74,产品资料!C:C,产品资料!O:O)*J74,0)&amp;"/"&amp;IFERROR(ROUND(K74/J74/(_xlfn.XLOOKUP(G74,产品资料!C:C,产品资料!N:N)*7.85),2),0)&amp;"/"&amp;L74-K74</f>
        <v>1757/0.75/12</v>
      </c>
    </row>
    <row r="75" spans="1:16" x14ac:dyDescent="0.15">
      <c r="A75">
        <f t="shared" si="9"/>
        <v>74</v>
      </c>
      <c r="B75" s="21">
        <v>46252</v>
      </c>
      <c r="C75" t="s">
        <v>189</v>
      </c>
      <c r="D75" t="s">
        <v>182</v>
      </c>
      <c r="E75" s="25" t="s">
        <v>228</v>
      </c>
      <c r="F75">
        <v>39407267</v>
      </c>
      <c r="G75" t="s">
        <v>55</v>
      </c>
      <c r="H75" t="str">
        <f>_xlfn.XLOOKUP(G75,产品资料!C:C,产品资料!E:E)</f>
        <v>4609左内垫板(0.8MM)</v>
      </c>
      <c r="I75" s="23" t="str">
        <f>_xlfn.XLOOKUP(G75,产品资料!C:C,产品资料!F:F)</f>
        <v>0.8*152*662</v>
      </c>
      <c r="J75">
        <v>1440</v>
      </c>
      <c r="K75">
        <v>836</v>
      </c>
      <c r="L75">
        <v>846</v>
      </c>
      <c r="M75" t="s">
        <v>555</v>
      </c>
      <c r="N75" t="s">
        <v>548</v>
      </c>
      <c r="O75" s="21" t="s">
        <v>523</v>
      </c>
      <c r="P75" s="27" t="str">
        <f>ROUND(_xlfn.XLOOKUP(G75,产品资料!C:C,产品资料!O:O)*J75,0)&amp;"/"&amp;IFERROR(ROUND(K75/J75/(_xlfn.XLOOKUP(G75,产品资料!C:C,产品资料!N:N)*7.85),2),0)&amp;"/"&amp;L75-K75</f>
        <v>887/0.75/10</v>
      </c>
    </row>
    <row r="76" spans="1:16" x14ac:dyDescent="0.15">
      <c r="A76">
        <f t="shared" si="9"/>
        <v>75</v>
      </c>
      <c r="B76" s="21">
        <v>46252</v>
      </c>
      <c r="C76" t="s">
        <v>189</v>
      </c>
      <c r="D76" t="s">
        <v>182</v>
      </c>
      <c r="E76" s="25" t="s">
        <v>228</v>
      </c>
      <c r="F76">
        <v>39407267</v>
      </c>
      <c r="G76" t="s">
        <v>105</v>
      </c>
      <c r="H76" t="str">
        <f>_xlfn.XLOOKUP(G76,产品资料!C:C,产品资料!E:E)</f>
        <v>4609小拉手(0.8MM）</v>
      </c>
      <c r="I76" s="23" t="str">
        <f>_xlfn.XLOOKUP(G76,产品资料!C:C,产品资料!F:F)</f>
        <v>0.8*142*515</v>
      </c>
      <c r="J76">
        <v>2101</v>
      </c>
      <c r="K76">
        <v>910</v>
      </c>
      <c r="L76">
        <v>920</v>
      </c>
      <c r="M76" t="s">
        <v>551</v>
      </c>
      <c r="N76" t="s">
        <v>449</v>
      </c>
      <c r="O76" s="21" t="s">
        <v>500</v>
      </c>
      <c r="P76" s="27" t="str">
        <f>ROUND(_xlfn.XLOOKUP(G76,产品资料!C:C,产品资料!O:O)*J76,0)&amp;"/"&amp;IFERROR(ROUND(K76/J76/(_xlfn.XLOOKUP(G76,产品资料!C:C,产品资料!N:N)*7.85),2),0)&amp;"/"&amp;L76-K76</f>
        <v>960/0.76/10</v>
      </c>
    </row>
    <row r="77" spans="1:16" x14ac:dyDescent="0.15">
      <c r="A77">
        <f t="shared" si="9"/>
        <v>76</v>
      </c>
      <c r="B77" s="21">
        <v>46252</v>
      </c>
      <c r="C77" t="s">
        <v>190</v>
      </c>
      <c r="D77" t="s">
        <v>179</v>
      </c>
      <c r="E77" s="25" t="s">
        <v>228</v>
      </c>
      <c r="F77">
        <v>39407267</v>
      </c>
      <c r="G77" t="s">
        <v>65</v>
      </c>
      <c r="H77" t="str">
        <f>_xlfn.XLOOKUP(G77,产品资料!C:C,产品资料!E:E)</f>
        <v>4609中隔板(0.8MM)</v>
      </c>
      <c r="I77" s="23" t="str">
        <f>_xlfn.XLOOKUP(G77,产品资料!C:C,产品资料!F:F)</f>
        <v>0.8*481.5*550</v>
      </c>
      <c r="J77">
        <v>524</v>
      </c>
      <c r="K77">
        <v>826</v>
      </c>
      <c r="L77">
        <v>832</v>
      </c>
      <c r="M77" t="s">
        <v>601</v>
      </c>
      <c r="N77" t="s">
        <v>387</v>
      </c>
      <c r="O77" s="21" t="s">
        <v>529</v>
      </c>
      <c r="P77" s="27" t="str">
        <f>ROUND(_xlfn.XLOOKUP(G77,产品资料!C:C,产品资料!O:O)*J77,0)&amp;"/"&amp;IFERROR(ROUND(K77/J77/(_xlfn.XLOOKUP(G77,产品资料!C:C,产品资料!N:N)*7.85),2),0)&amp;"/"&amp;L77-K77</f>
        <v>870/0.76/6</v>
      </c>
    </row>
    <row r="78" spans="1:16" x14ac:dyDescent="0.15">
      <c r="A78">
        <f t="shared" ref="A78:A83" si="10">ROW()-1</f>
        <v>77</v>
      </c>
      <c r="B78" s="21">
        <v>46116</v>
      </c>
      <c r="C78" t="s">
        <v>180</v>
      </c>
      <c r="D78" t="s">
        <v>182</v>
      </c>
      <c r="E78" s="25" t="s">
        <v>228</v>
      </c>
      <c r="F78">
        <v>39407267</v>
      </c>
      <c r="G78" t="s">
        <v>85</v>
      </c>
      <c r="H78" t="str">
        <f>_xlfn.XLOOKUP(G78,产品资料!C:C,产品资料!E:E)</f>
        <v>4609后盖板长加强(0.8MM)</v>
      </c>
      <c r="I78" t="str">
        <f>_xlfn.XLOOKUP(G78,产品资料!C:C,产品资料!F:F)</f>
        <v>0.8*38.5*493</v>
      </c>
      <c r="J78">
        <v>3663</v>
      </c>
      <c r="K78">
        <v>410</v>
      </c>
      <c r="L78">
        <v>420</v>
      </c>
      <c r="M78" t="s">
        <v>521</v>
      </c>
      <c r="N78" t="s">
        <v>388</v>
      </c>
      <c r="O78" s="21" t="s">
        <v>602</v>
      </c>
      <c r="P78" s="27" t="str">
        <f>ROUND(_xlfn.XLOOKUP(G78,产品资料!C:C,产品资料!O:O)*J78,0)&amp;"/"&amp;IFERROR(ROUND(K78/J78/(_xlfn.XLOOKUP(G78,产品资料!C:C,产品资料!N:N)*7.85),2),0)&amp;"/"&amp;L78-K78</f>
        <v>436/0.75/10</v>
      </c>
    </row>
    <row r="79" spans="1:16" x14ac:dyDescent="0.15">
      <c r="A79">
        <f t="shared" si="10"/>
        <v>78</v>
      </c>
      <c r="B79" s="21">
        <v>46253</v>
      </c>
      <c r="C79" t="s">
        <v>189</v>
      </c>
      <c r="D79" t="s">
        <v>182</v>
      </c>
      <c r="E79" s="25" t="s">
        <v>228</v>
      </c>
      <c r="F79">
        <v>39407267</v>
      </c>
      <c r="G79" t="s">
        <v>125</v>
      </c>
      <c r="H79" t="str">
        <f>_xlfn.XLOOKUP(G79,产品资料!C:C,产品资料!E:E)</f>
        <v>4609大拉手(0.8MM）</v>
      </c>
      <c r="I79" t="str">
        <f>_xlfn.XLOOKUP(G79,产品资料!C:C,产品资料!F:F)</f>
        <v>0.8*303*515</v>
      </c>
      <c r="J79">
        <v>1031</v>
      </c>
      <c r="K79">
        <v>955</v>
      </c>
      <c r="L79">
        <v>965</v>
      </c>
      <c r="M79" t="s">
        <v>561</v>
      </c>
      <c r="N79" t="s">
        <v>389</v>
      </c>
      <c r="O79" s="21" t="s">
        <v>495</v>
      </c>
      <c r="P79" s="27" t="str">
        <f>ROUND(_xlfn.XLOOKUP(G79,产品资料!C:C,产品资料!O:O)*J79,0)&amp;"/"&amp;IFERROR(ROUND(K79/J79/(_xlfn.XLOOKUP(G79,产品资料!C:C,产品资料!N:N)*7.85),2),0)&amp;"/"&amp;L79-K79</f>
        <v>1008/0.76/10</v>
      </c>
    </row>
    <row r="80" spans="1:16" x14ac:dyDescent="0.15">
      <c r="A80">
        <f t="shared" si="10"/>
        <v>79</v>
      </c>
      <c r="B80" s="21">
        <v>46253</v>
      </c>
      <c r="C80" t="s">
        <v>189</v>
      </c>
      <c r="D80" t="s">
        <v>179</v>
      </c>
      <c r="E80" s="25" t="s">
        <v>228</v>
      </c>
      <c r="F80">
        <v>39407267</v>
      </c>
      <c r="G80" t="s">
        <v>40</v>
      </c>
      <c r="H80" t="str">
        <f>_xlfn.XLOOKUP(G80,产品资料!C:C,产品资料!E:E)</f>
        <v>4609底盖（0.8MM)</v>
      </c>
      <c r="I80" t="str">
        <f>_xlfn.XLOOKUP(G80,产品资料!C:C,产品资料!F:F)</f>
        <v>0.8*552.5*1211</v>
      </c>
      <c r="J80">
        <v>458</v>
      </c>
      <c r="K80">
        <v>1804</v>
      </c>
      <c r="L80">
        <v>1816</v>
      </c>
      <c r="M80" t="s">
        <v>594</v>
      </c>
      <c r="N80" t="s">
        <v>390</v>
      </c>
      <c r="O80" s="21" t="s">
        <v>603</v>
      </c>
      <c r="P80" s="27" t="str">
        <f>ROUND(_xlfn.XLOOKUP(G80,产品资料!C:C,产品资料!O:O)*J80,0)&amp;"/"&amp;IFERROR(ROUND(K80/J80/(_xlfn.XLOOKUP(G80,产品资料!C:C,产品资料!N:N)*7.85),2),0)&amp;"/"&amp;L80-K80</f>
        <v>1904/0.76/12</v>
      </c>
    </row>
    <row r="81" spans="1:16" x14ac:dyDescent="0.15">
      <c r="A81">
        <f t="shared" si="10"/>
        <v>80</v>
      </c>
      <c r="B81" s="21">
        <v>46253</v>
      </c>
      <c r="C81" t="s">
        <v>189</v>
      </c>
      <c r="D81" t="s">
        <v>179</v>
      </c>
      <c r="E81" s="25" t="s">
        <v>228</v>
      </c>
      <c r="F81">
        <v>39407267</v>
      </c>
      <c r="G81" t="s">
        <v>19</v>
      </c>
      <c r="H81" t="str">
        <f>_xlfn.XLOOKUP(G81,产品资料!C:C,产品资料!E:E)</f>
        <v xml:space="preserve">4609底盖小加强板（0.8MM ) </v>
      </c>
      <c r="I81" t="str">
        <f>_xlfn.XLOOKUP(G81,产品资料!C:C,产品资料!F:F)</f>
        <v>0.8*119*1162</v>
      </c>
      <c r="J81">
        <v>1827</v>
      </c>
      <c r="K81">
        <v>1484</v>
      </c>
      <c r="L81">
        <v>1498</v>
      </c>
      <c r="M81" t="s">
        <v>604</v>
      </c>
      <c r="N81" t="s">
        <v>391</v>
      </c>
      <c r="O81" s="21" t="s">
        <v>537</v>
      </c>
      <c r="P81" s="27" t="str">
        <f>ROUND(_xlfn.XLOOKUP(G81,产品资料!C:C,产品资料!O:O)*J81,0)&amp;"/"&amp;IFERROR(ROUND(K81/J81/(_xlfn.XLOOKUP(G81,产品资料!C:C,产品资料!N:N)*7.85),2),0)&amp;"/"&amp;L81-K81</f>
        <v>1571/0.76/14</v>
      </c>
    </row>
    <row r="82" spans="1:16" x14ac:dyDescent="0.15">
      <c r="A82">
        <f t="shared" si="10"/>
        <v>81</v>
      </c>
      <c r="B82" s="21">
        <v>46253</v>
      </c>
      <c r="C82" t="s">
        <v>189</v>
      </c>
      <c r="D82" t="s">
        <v>182</v>
      </c>
      <c r="E82" s="25" t="s">
        <v>228</v>
      </c>
      <c r="F82">
        <v>39407267</v>
      </c>
      <c r="G82" t="s">
        <v>125</v>
      </c>
      <c r="H82" t="str">
        <f>_xlfn.XLOOKUP(G82,产品资料!C:C,产品资料!E:E)</f>
        <v>4609大拉手(0.8MM）</v>
      </c>
      <c r="I82" t="str">
        <f>_xlfn.XLOOKUP(G82,产品资料!C:C,产品资料!F:F)</f>
        <v>0.8*303*515</v>
      </c>
      <c r="J82">
        <v>1056</v>
      </c>
      <c r="K82">
        <v>982</v>
      </c>
      <c r="L82">
        <v>992</v>
      </c>
      <c r="M82" t="s">
        <v>605</v>
      </c>
      <c r="N82" t="s">
        <v>392</v>
      </c>
      <c r="O82" s="21" t="s">
        <v>457</v>
      </c>
      <c r="P82" s="27" t="str">
        <f>ROUND(_xlfn.XLOOKUP(G82,产品资料!C:C,产品资料!O:O)*J82,0)&amp;"/"&amp;IFERROR(ROUND(K82/J82/(_xlfn.XLOOKUP(G82,产品资料!C:C,产品资料!N:N)*7.85),2),0)&amp;"/"&amp;L82-K82</f>
        <v>1033/0.76/10</v>
      </c>
    </row>
    <row r="83" spans="1:16" x14ac:dyDescent="0.15">
      <c r="A83">
        <f t="shared" si="10"/>
        <v>82</v>
      </c>
      <c r="B83" s="21">
        <v>46253</v>
      </c>
      <c r="C83" t="s">
        <v>189</v>
      </c>
      <c r="D83" t="s">
        <v>182</v>
      </c>
      <c r="E83" s="25" t="s">
        <v>228</v>
      </c>
      <c r="F83">
        <v>39407267</v>
      </c>
      <c r="G83" t="s">
        <v>100</v>
      </c>
      <c r="H83" t="str">
        <f>_xlfn.XLOOKUP(G83,产品资料!C:C,产品资料!E:E)</f>
        <v>4609小抽斗(0.8MM)</v>
      </c>
      <c r="I83" t="str">
        <f>_xlfn.XLOOKUP(G83,产品资料!C:C,产品资料!F:F)</f>
        <v>0.8*418*603</v>
      </c>
      <c r="J83">
        <v>979</v>
      </c>
      <c r="K83">
        <v>1460</v>
      </c>
      <c r="L83">
        <v>1472</v>
      </c>
      <c r="M83" t="s">
        <v>597</v>
      </c>
      <c r="N83" t="s">
        <v>393</v>
      </c>
      <c r="O83" s="21" t="s">
        <v>536</v>
      </c>
      <c r="P83" s="27" t="str">
        <f>ROUND(_xlfn.XLOOKUP(G83,产品资料!C:C,产品资料!O:O)*J83,0)&amp;"/"&amp;IFERROR(ROUND(K83/J83/(_xlfn.XLOOKUP(G83,产品资料!C:C,产品资料!N:N)*7.85),2),0)&amp;"/"&amp;L83-K83</f>
        <v>1540/0.76/12</v>
      </c>
    </row>
    <row r="84" spans="1:16" x14ac:dyDescent="0.15">
      <c r="A84">
        <f t="shared" ref="A84:A85" si="11">ROW()-1</f>
        <v>83</v>
      </c>
      <c r="B84" s="21">
        <v>46253</v>
      </c>
      <c r="C84" t="s">
        <v>189</v>
      </c>
      <c r="D84" t="s">
        <v>182</v>
      </c>
      <c r="E84" s="25" t="s">
        <v>228</v>
      </c>
      <c r="F84">
        <v>39407267</v>
      </c>
      <c r="G84" t="s">
        <v>125</v>
      </c>
      <c r="H84" t="str">
        <f>_xlfn.XLOOKUP(G84,产品资料!C:C,产品资料!E:E)</f>
        <v>4609大拉手(0.8MM）</v>
      </c>
      <c r="I84" t="str">
        <f>_xlfn.XLOOKUP(G84,产品资料!C:C,产品资料!F:F)</f>
        <v>0.8*303*515</v>
      </c>
      <c r="J84">
        <v>1056</v>
      </c>
      <c r="K84">
        <v>982</v>
      </c>
      <c r="L84">
        <v>992</v>
      </c>
      <c r="M84" t="s">
        <v>605</v>
      </c>
      <c r="N84" t="s">
        <v>394</v>
      </c>
      <c r="O84" s="21" t="s">
        <v>536</v>
      </c>
      <c r="P84" s="27" t="str">
        <f>ROUND(_xlfn.XLOOKUP(G84,产品资料!C:C,产品资料!O:O)*J84,0)&amp;"/"&amp;IFERROR(ROUND(K84/J84/(_xlfn.XLOOKUP(G84,产品资料!C:C,产品资料!N:N)*7.85),2),0)&amp;"/"&amp;L84-K84</f>
        <v>1033/0.76/10</v>
      </c>
    </row>
    <row r="85" spans="1:16" x14ac:dyDescent="0.15">
      <c r="A85">
        <f t="shared" si="11"/>
        <v>84</v>
      </c>
      <c r="B85" s="21">
        <v>46253</v>
      </c>
      <c r="C85" t="s">
        <v>190</v>
      </c>
      <c r="D85" t="s">
        <v>179</v>
      </c>
      <c r="E85" s="25" t="s">
        <v>241</v>
      </c>
      <c r="F85">
        <v>39407267</v>
      </c>
      <c r="G85" t="s">
        <v>135</v>
      </c>
      <c r="H85" t="str">
        <f>_xlfn.XLOOKUP(G85,产品资料!C:C,产品资料!E:E)</f>
        <v>4609后排锁座(0.5)</v>
      </c>
      <c r="I85" t="str">
        <f>_xlfn.XLOOKUP(G85,产品资料!C:C,产品资料!F:F)</f>
        <v>0.5*110*755</v>
      </c>
      <c r="J85">
        <v>1070</v>
      </c>
      <c r="K85">
        <v>334</v>
      </c>
      <c r="L85">
        <v>346</v>
      </c>
      <c r="M85" t="s">
        <v>606</v>
      </c>
      <c r="N85" t="s">
        <v>395</v>
      </c>
      <c r="O85" s="21" t="s">
        <v>576</v>
      </c>
      <c r="P85" s="27" t="str">
        <f>ROUND(_xlfn.XLOOKUP(G85,产品资料!C:C,产品资料!O:O)*J85,0)&amp;"/"&amp;IFERROR(ROUND(K85/J85/(_xlfn.XLOOKUP(G85,产品资料!C:C,产品资料!N:N)*7.85),2),0)&amp;"/"&amp;L85-K85</f>
        <v>344/0.49/12</v>
      </c>
    </row>
    <row r="86" spans="1:16" x14ac:dyDescent="0.15">
      <c r="A86">
        <f t="shared" ref="A86:A92" si="12">ROW()-1</f>
        <v>85</v>
      </c>
      <c r="B86" s="21">
        <v>46254</v>
      </c>
      <c r="C86" t="s">
        <v>189</v>
      </c>
      <c r="D86" t="s">
        <v>182</v>
      </c>
      <c r="E86" s="25" t="s">
        <v>228</v>
      </c>
      <c r="F86">
        <v>39407267</v>
      </c>
      <c r="G86" t="s">
        <v>110</v>
      </c>
      <c r="H86" t="str">
        <f>_xlfn.XLOOKUP(G86,产品资料!C:C,产品资料!E:E)</f>
        <v>4609中抽斗(0.8MM)</v>
      </c>
      <c r="I86" t="str">
        <f>_xlfn.XLOOKUP(G86,产品资料!C:C,产品资料!F:F)</f>
        <v>0.8*418*639</v>
      </c>
      <c r="J86">
        <v>1045</v>
      </c>
      <c r="K86">
        <v>1648</v>
      </c>
      <c r="L86">
        <v>1660</v>
      </c>
      <c r="M86" t="s">
        <v>587</v>
      </c>
      <c r="N86" t="s">
        <v>396</v>
      </c>
      <c r="O86" s="21" t="s">
        <v>512</v>
      </c>
      <c r="P86" s="27" t="str">
        <f>ROUND(_xlfn.XLOOKUP(G86,产品资料!C:C,产品资料!O:O)*J86,0)&amp;"/"&amp;IFERROR(ROUND(K86/J86/(_xlfn.XLOOKUP(G86,产品资料!C:C,产品资料!N:N)*7.85),2),0)&amp;"/"&amp;L86-K86</f>
        <v>1742/0.76/12</v>
      </c>
    </row>
    <row r="87" spans="1:16" x14ac:dyDescent="0.15">
      <c r="A87">
        <f t="shared" si="12"/>
        <v>86</v>
      </c>
      <c r="B87" s="21">
        <v>46254</v>
      </c>
      <c r="C87" t="s">
        <v>189</v>
      </c>
      <c r="D87" t="s">
        <v>182</v>
      </c>
      <c r="E87" s="25" t="s">
        <v>251</v>
      </c>
      <c r="F87">
        <v>39407267</v>
      </c>
      <c r="G87" t="s">
        <v>125</v>
      </c>
      <c r="H87" t="str">
        <f>_xlfn.XLOOKUP(G87,产品资料!C:C,产品资料!E:E)</f>
        <v>4609大拉手(0.8MM）</v>
      </c>
      <c r="I87" t="str">
        <f>_xlfn.XLOOKUP(G87,产品资料!C:C,产品资料!F:F)</f>
        <v>0.8*303*515</v>
      </c>
      <c r="J87">
        <v>1056</v>
      </c>
      <c r="K87">
        <v>982</v>
      </c>
      <c r="L87">
        <v>992</v>
      </c>
      <c r="M87" t="s">
        <v>605</v>
      </c>
      <c r="N87" t="s">
        <v>397</v>
      </c>
      <c r="O87" s="21" t="s">
        <v>499</v>
      </c>
      <c r="P87" s="27" t="str">
        <f>ROUND(_xlfn.XLOOKUP(G87,产品资料!C:C,产品资料!O:O)*J87,0)&amp;"/"&amp;IFERROR(ROUND(K87/J87/(_xlfn.XLOOKUP(G87,产品资料!C:C,产品资料!N:N)*7.85),2),0)&amp;"/"&amp;L87-K87</f>
        <v>1033/0.76/10</v>
      </c>
    </row>
    <row r="88" spans="1:16" x14ac:dyDescent="0.15">
      <c r="A88">
        <f t="shared" si="12"/>
        <v>87</v>
      </c>
      <c r="B88" s="21">
        <v>46254</v>
      </c>
      <c r="C88" t="s">
        <v>189</v>
      </c>
      <c r="D88" t="s">
        <v>179</v>
      </c>
      <c r="E88" s="25" t="s">
        <v>251</v>
      </c>
      <c r="F88">
        <v>39407267</v>
      </c>
      <c r="G88" t="s">
        <v>40</v>
      </c>
      <c r="H88" t="str">
        <f>_xlfn.XLOOKUP(G88,产品资料!C:C,产品资料!E:E)</f>
        <v>4609底盖（0.8MM)</v>
      </c>
      <c r="I88" t="str">
        <f>_xlfn.XLOOKUP(G88,产品资料!C:C,产品资料!F:F)</f>
        <v>0.8*552.5*1211</v>
      </c>
      <c r="J88">
        <v>460</v>
      </c>
      <c r="K88">
        <v>1808</v>
      </c>
      <c r="L88">
        <v>1820</v>
      </c>
      <c r="M88" t="s">
        <v>594</v>
      </c>
      <c r="N88" t="s">
        <v>398</v>
      </c>
      <c r="O88" s="21" t="s">
        <v>497</v>
      </c>
      <c r="P88" s="27" t="str">
        <f>ROUND(_xlfn.XLOOKUP(G88,产品资料!C:C,产品资料!O:O)*J88,0)&amp;"/"&amp;IFERROR(ROUND(K88/J88/(_xlfn.XLOOKUP(G88,产品资料!C:C,产品资料!N:N)*7.85),2),0)&amp;"/"&amp;L88-K88</f>
        <v>1912/0.76/12</v>
      </c>
    </row>
    <row r="89" spans="1:16" x14ac:dyDescent="0.15">
      <c r="A89">
        <f t="shared" si="12"/>
        <v>88</v>
      </c>
      <c r="B89" s="21">
        <v>46254</v>
      </c>
      <c r="C89" t="s">
        <v>189</v>
      </c>
      <c r="D89" t="s">
        <v>182</v>
      </c>
      <c r="E89" s="25" t="s">
        <v>251</v>
      </c>
      <c r="F89">
        <v>39407267</v>
      </c>
      <c r="G89" t="s">
        <v>90</v>
      </c>
      <c r="H89" t="str">
        <f>_xlfn.XLOOKUP(G89,产品资料!C:C,产品资料!E:E)</f>
        <v>4609顶长抽斗(0.8MM)</v>
      </c>
      <c r="I89" t="str">
        <f>_xlfn.XLOOKUP(G89,产品资料!C:C,产品资料!F:F)</f>
        <v>0.8*418*1210</v>
      </c>
      <c r="J89">
        <v>522</v>
      </c>
      <c r="K89">
        <v>1560</v>
      </c>
      <c r="L89">
        <v>1572</v>
      </c>
      <c r="M89" t="s">
        <v>607</v>
      </c>
      <c r="N89" t="s">
        <v>399</v>
      </c>
      <c r="O89" s="21" t="s">
        <v>459</v>
      </c>
      <c r="P89" s="27" t="str">
        <f>ROUND(_xlfn.XLOOKUP(G89,产品资料!C:C,产品资料!O:O)*J89,0)&amp;"/"&amp;IFERROR(ROUND(K89/J89/(_xlfn.XLOOKUP(G89,产品资料!C:C,产品资料!N:N)*7.85),2),0)&amp;"/"&amp;L89-K89</f>
        <v>1652/0.76/12</v>
      </c>
    </row>
    <row r="90" spans="1:16" x14ac:dyDescent="0.15">
      <c r="A90">
        <f t="shared" si="12"/>
        <v>89</v>
      </c>
      <c r="B90" s="21">
        <v>46254</v>
      </c>
      <c r="C90" t="s">
        <v>189</v>
      </c>
      <c r="D90" t="s">
        <v>182</v>
      </c>
      <c r="E90" s="25" t="s">
        <v>251</v>
      </c>
      <c r="F90">
        <v>39407267</v>
      </c>
      <c r="G90" t="s">
        <v>60</v>
      </c>
      <c r="H90" t="str">
        <f>_xlfn.XLOOKUP(G90,产品资料!C:C,产品资料!E:E)</f>
        <v>4609后内垫板大槽(0.8MM)</v>
      </c>
      <c r="I90" t="str">
        <f>_xlfn.XLOOKUP(G90,产品资料!C:C,产品资料!F:F)</f>
        <v>0.8*145*754.5</v>
      </c>
      <c r="J90">
        <v>1470</v>
      </c>
      <c r="K90">
        <v>954</v>
      </c>
      <c r="L90">
        <v>966</v>
      </c>
      <c r="M90" t="s">
        <v>533</v>
      </c>
      <c r="N90" t="s">
        <v>400</v>
      </c>
      <c r="O90" s="21" t="s">
        <v>514</v>
      </c>
      <c r="P90" s="27" t="str">
        <f>ROUND(_xlfn.XLOOKUP(G90,产品资料!C:C,产品资料!O:O)*J90,0)&amp;"/"&amp;IFERROR(ROUND(K90/J90/(_xlfn.XLOOKUP(G90,产品资料!C:C,产品资料!N:N)*7.85),2),0)&amp;"/"&amp;L90-K90</f>
        <v>1009/0.76/12</v>
      </c>
    </row>
    <row r="91" spans="1:16" x14ac:dyDescent="0.15">
      <c r="A91">
        <f t="shared" si="12"/>
        <v>90</v>
      </c>
      <c r="B91" s="21">
        <v>46254</v>
      </c>
      <c r="C91" t="s">
        <v>189</v>
      </c>
      <c r="D91" t="s">
        <v>182</v>
      </c>
      <c r="E91" s="25" t="s">
        <v>251</v>
      </c>
      <c r="F91">
        <v>39407267</v>
      </c>
      <c r="G91" t="s">
        <v>125</v>
      </c>
      <c r="H91" t="str">
        <f>_xlfn.XLOOKUP(G91,产品资料!C:C,产品资料!E:E)</f>
        <v>4609大拉手(0.8MM）</v>
      </c>
      <c r="I91" t="str">
        <f>_xlfn.XLOOKUP(G91,产品资料!C:C,产品资料!F:F)</f>
        <v>0.8*303*515</v>
      </c>
      <c r="J91">
        <v>1064</v>
      </c>
      <c r="K91">
        <v>988</v>
      </c>
      <c r="L91">
        <v>998</v>
      </c>
      <c r="M91" t="s">
        <v>608</v>
      </c>
      <c r="N91" t="s">
        <v>401</v>
      </c>
      <c r="O91" s="21" t="s">
        <v>463</v>
      </c>
      <c r="P91" s="27" t="str">
        <f>ROUND(_xlfn.XLOOKUP(G91,产品资料!C:C,产品资料!O:O)*J91,0)&amp;"/"&amp;IFERROR(ROUND(K91/J91/(_xlfn.XLOOKUP(G91,产品资料!C:C,产品资料!N:N)*7.85),2),0)&amp;"/"&amp;L91-K91</f>
        <v>1040/0.76/10</v>
      </c>
    </row>
    <row r="92" spans="1:16" x14ac:dyDescent="0.15">
      <c r="A92">
        <f t="shared" si="12"/>
        <v>91</v>
      </c>
      <c r="B92" s="21">
        <v>46254</v>
      </c>
      <c r="C92" t="s">
        <v>189</v>
      </c>
      <c r="D92" t="s">
        <v>179</v>
      </c>
      <c r="E92" s="25" t="s">
        <v>251</v>
      </c>
      <c r="F92">
        <v>39407267</v>
      </c>
      <c r="G92" t="s">
        <v>65</v>
      </c>
      <c r="H92" t="str">
        <f>_xlfn.XLOOKUP(G92,产品资料!C:C,产品资料!E:E)</f>
        <v>4609中隔板(0.8MM)</v>
      </c>
      <c r="I92" s="23" t="str">
        <f>_xlfn.XLOOKUP(G92,产品资料!C:C,产品资料!F:F)</f>
        <v>0.8*481.5*550</v>
      </c>
      <c r="J92">
        <v>526</v>
      </c>
      <c r="K92">
        <v>830</v>
      </c>
      <c r="L92">
        <v>836</v>
      </c>
      <c r="M92" t="s">
        <v>567</v>
      </c>
      <c r="N92" t="s">
        <v>402</v>
      </c>
      <c r="O92" s="21" t="s">
        <v>530</v>
      </c>
      <c r="P92" s="27" t="str">
        <f>ROUND(_xlfn.XLOOKUP(G92,产品资料!C:C,产品资料!O:O)*J92,0)&amp;"/"&amp;IFERROR(ROUND(K92/J92/(_xlfn.XLOOKUP(G92,产品资料!C:C,产品资料!N:N)*7.85),2),0)&amp;"/"&amp;L92-K92</f>
        <v>873/0.76/6</v>
      </c>
    </row>
    <row r="93" spans="1:16" x14ac:dyDescent="0.15">
      <c r="A93">
        <f t="shared" ref="A93:A114" si="13">ROW()-1</f>
        <v>92</v>
      </c>
      <c r="B93" s="21">
        <v>46254</v>
      </c>
      <c r="C93" t="s">
        <v>190</v>
      </c>
      <c r="D93" t="s">
        <v>182</v>
      </c>
      <c r="E93" s="25" t="s">
        <v>253</v>
      </c>
      <c r="F93">
        <v>39407267</v>
      </c>
      <c r="G93" t="s">
        <v>115</v>
      </c>
      <c r="H93" t="str">
        <f>_xlfn.XLOOKUP(G93,产品资料!C:C,产品资料!E:E)</f>
        <v>4609中拉手(0.8MM）</v>
      </c>
      <c r="I93" s="23" t="str">
        <f>_xlfn.XLOOKUP(G93,产品资料!C:C,产品资料!F:F)</f>
        <v>0.8*155*515</v>
      </c>
      <c r="J93">
        <v>1839</v>
      </c>
      <c r="K93">
        <v>866</v>
      </c>
      <c r="L93">
        <v>876</v>
      </c>
      <c r="M93" t="s">
        <v>609</v>
      </c>
      <c r="N93" t="s">
        <v>403</v>
      </c>
      <c r="O93" s="30" t="s">
        <v>492</v>
      </c>
      <c r="P93" s="27" t="str">
        <f>ROUND(_xlfn.XLOOKUP(G93,产品资料!C:C,产品资料!O:O)*J93,0)&amp;"/"&amp;IFERROR(ROUND(K93/J93/(_xlfn.XLOOKUP(G93,产品资料!C:C,产品资料!N:N)*7.85),2),0)&amp;"/"&amp;L93-K93</f>
        <v>918/0.75/10</v>
      </c>
    </row>
    <row r="94" spans="1:16" x14ac:dyDescent="0.15">
      <c r="A94">
        <f t="shared" si="13"/>
        <v>93</v>
      </c>
      <c r="B94" s="21">
        <v>46254</v>
      </c>
      <c r="C94" t="s">
        <v>190</v>
      </c>
      <c r="D94" t="s">
        <v>182</v>
      </c>
      <c r="E94" s="25" t="s">
        <v>253</v>
      </c>
      <c r="F94">
        <v>39407267</v>
      </c>
      <c r="G94" t="s">
        <v>100</v>
      </c>
      <c r="H94" t="str">
        <f>_xlfn.XLOOKUP(G94,产品资料!C:C,产品资料!E:E)</f>
        <v>4609小抽斗(0.8MM)</v>
      </c>
      <c r="I94" s="23" t="str">
        <f>_xlfn.XLOOKUP(G94,产品资料!C:C,产品资料!F:F)</f>
        <v>0.8*418*603</v>
      </c>
      <c r="J94">
        <v>960</v>
      </c>
      <c r="K94">
        <v>1432</v>
      </c>
      <c r="L94">
        <v>1444</v>
      </c>
      <c r="M94" t="s">
        <v>566</v>
      </c>
      <c r="N94" t="s">
        <v>404</v>
      </c>
      <c r="O94" s="21" t="s">
        <v>492</v>
      </c>
      <c r="P94" s="27" t="str">
        <f>ROUND(_xlfn.XLOOKUP(G94,产品资料!C:C,产品资料!O:O)*J94,0)&amp;"/"&amp;IFERROR(ROUND(K94/J94/(_xlfn.XLOOKUP(G94,产品资料!C:C,产品资料!N:N)*7.85),2),0)&amp;"/"&amp;L94-K94</f>
        <v>1510/0.76/12</v>
      </c>
    </row>
    <row r="95" spans="1:16" x14ac:dyDescent="0.15">
      <c r="A95">
        <f t="shared" si="13"/>
        <v>94</v>
      </c>
      <c r="B95" s="21">
        <v>46254</v>
      </c>
      <c r="C95" t="s">
        <v>190</v>
      </c>
      <c r="D95" t="s">
        <v>182</v>
      </c>
      <c r="E95" s="25" t="s">
        <v>253</v>
      </c>
      <c r="F95">
        <v>39407267</v>
      </c>
      <c r="G95" t="s">
        <v>65</v>
      </c>
      <c r="H95" t="str">
        <f>_xlfn.XLOOKUP(G95,产品资料!C:C,产品资料!E:E)</f>
        <v>4609中隔板(0.8MM)</v>
      </c>
      <c r="I95" s="23" t="str">
        <f>_xlfn.XLOOKUP(G95,产品资料!C:C,产品资料!F:F)</f>
        <v>0.8*481.5*550</v>
      </c>
      <c r="J95">
        <v>517</v>
      </c>
      <c r="K95">
        <v>816</v>
      </c>
      <c r="L95">
        <v>822</v>
      </c>
      <c r="M95" t="s">
        <v>564</v>
      </c>
      <c r="N95" t="s">
        <v>405</v>
      </c>
      <c r="O95" s="21" t="s">
        <v>462</v>
      </c>
      <c r="P95" s="27" t="str">
        <f>ROUND(_xlfn.XLOOKUP(G95,产品资料!C:C,产品资料!O:O)*J95,0)&amp;"/"&amp;IFERROR(ROUND(K95/J95/(_xlfn.XLOOKUP(G95,产品资料!C:C,产品资料!N:N)*7.85),2),0)&amp;"/"&amp;L95-K95</f>
        <v>858/0.76/6</v>
      </c>
    </row>
    <row r="96" spans="1:16" x14ac:dyDescent="0.15">
      <c r="A96">
        <f t="shared" si="13"/>
        <v>95</v>
      </c>
      <c r="B96" s="21">
        <v>46254</v>
      </c>
      <c r="C96" t="s">
        <v>190</v>
      </c>
      <c r="D96" t="s">
        <v>182</v>
      </c>
      <c r="E96" s="25" t="s">
        <v>253</v>
      </c>
      <c r="F96">
        <v>39407267</v>
      </c>
      <c r="G96" t="s">
        <v>65</v>
      </c>
      <c r="H96" t="str">
        <f>_xlfn.XLOOKUP(G96,产品资料!C:C,产品资料!E:E)</f>
        <v>4609中隔板(0.8MM)</v>
      </c>
      <c r="I96" s="23" t="str">
        <f>_xlfn.XLOOKUP(G96,产品资料!C:C,产品资料!F:F)</f>
        <v>0.8*481.5*550</v>
      </c>
      <c r="J96">
        <v>526</v>
      </c>
      <c r="K96">
        <v>830</v>
      </c>
      <c r="L96">
        <v>836</v>
      </c>
      <c r="M96" t="s">
        <v>567</v>
      </c>
      <c r="N96" t="s">
        <v>406</v>
      </c>
      <c r="O96" s="21" t="s">
        <v>509</v>
      </c>
      <c r="P96" s="27" t="str">
        <f>ROUND(_xlfn.XLOOKUP(G96,产品资料!C:C,产品资料!O:O)*J96,0)&amp;"/"&amp;IFERROR(ROUND(K96/J96/(_xlfn.XLOOKUP(G96,产品资料!C:C,产品资料!N:N)*7.85),2),0)&amp;"/"&amp;L96-K96</f>
        <v>873/0.76/6</v>
      </c>
    </row>
    <row r="97" spans="1:16" x14ac:dyDescent="0.15">
      <c r="A97">
        <f t="shared" si="13"/>
        <v>96</v>
      </c>
      <c r="B97" s="21">
        <v>46254</v>
      </c>
      <c r="C97" t="s">
        <v>190</v>
      </c>
      <c r="D97" t="s">
        <v>182</v>
      </c>
      <c r="E97" s="25" t="s">
        <v>253</v>
      </c>
      <c r="F97">
        <v>39407267</v>
      </c>
      <c r="G97" t="s">
        <v>100</v>
      </c>
      <c r="H97" t="str">
        <f>_xlfn.XLOOKUP(G97,产品资料!C:C,产品资料!E:E)</f>
        <v>4609小抽斗(0.8MM)</v>
      </c>
      <c r="I97" s="23" t="str">
        <f>_xlfn.XLOOKUP(G97,产品资料!C:C,产品资料!F:F)</f>
        <v>0.8*418*603</v>
      </c>
      <c r="J97">
        <v>1000</v>
      </c>
      <c r="K97">
        <v>1489</v>
      </c>
      <c r="L97">
        <v>1501</v>
      </c>
      <c r="M97" t="s">
        <v>540</v>
      </c>
      <c r="N97" t="s">
        <v>407</v>
      </c>
      <c r="O97" s="21" t="s">
        <v>494</v>
      </c>
      <c r="P97" s="27" t="str">
        <f>ROUND(_xlfn.XLOOKUP(G97,产品资料!C:C,产品资料!O:O)*J97,0)&amp;"/"&amp;IFERROR(ROUND(K97/J97/(_xlfn.XLOOKUP(G97,产品资料!C:C,产品资料!N:N)*7.85),2),0)&amp;"/"&amp;L97-K97</f>
        <v>1573/0.76/12</v>
      </c>
    </row>
    <row r="98" spans="1:16" x14ac:dyDescent="0.15">
      <c r="A98">
        <f t="shared" si="13"/>
        <v>97</v>
      </c>
      <c r="B98" s="21">
        <v>46254</v>
      </c>
      <c r="C98" t="s">
        <v>190</v>
      </c>
      <c r="D98" t="s">
        <v>182</v>
      </c>
      <c r="E98" s="25" t="s">
        <v>253</v>
      </c>
      <c r="F98">
        <v>39407267</v>
      </c>
      <c r="G98" t="s">
        <v>55</v>
      </c>
      <c r="H98" t="str">
        <f>_xlfn.XLOOKUP(G98,产品资料!C:C,产品资料!E:E)</f>
        <v>4609左内垫板(0.8MM)</v>
      </c>
      <c r="I98" s="23" t="str">
        <f>_xlfn.XLOOKUP(G98,产品资料!C:C,产品资料!F:F)</f>
        <v>0.8*152*662</v>
      </c>
      <c r="J98">
        <v>1460</v>
      </c>
      <c r="K98">
        <v>850</v>
      </c>
      <c r="L98">
        <v>860</v>
      </c>
      <c r="M98" t="s">
        <v>555</v>
      </c>
      <c r="N98" t="s">
        <v>448</v>
      </c>
      <c r="O98" s="21" t="s">
        <v>485</v>
      </c>
      <c r="P98" s="27" t="str">
        <f>ROUND(_xlfn.XLOOKUP(G98,产品资料!C:C,产品资料!O:O)*J98,0)&amp;"/"&amp;IFERROR(ROUND(K98/J98/(_xlfn.XLOOKUP(G98,产品资料!C:C,产品资料!N:N)*7.85),2),0)&amp;"/"&amp;L98-K98</f>
        <v>899/0.76/10</v>
      </c>
    </row>
    <row r="99" spans="1:16" x14ac:dyDescent="0.15">
      <c r="A99">
        <f t="shared" si="13"/>
        <v>98</v>
      </c>
      <c r="B99" s="21">
        <v>46255</v>
      </c>
      <c r="C99" t="s">
        <v>189</v>
      </c>
      <c r="D99" t="s">
        <v>179</v>
      </c>
      <c r="E99" s="25" t="s">
        <v>253</v>
      </c>
      <c r="F99">
        <v>39407267</v>
      </c>
      <c r="G99" t="s">
        <v>40</v>
      </c>
      <c r="H99" t="str">
        <f>_xlfn.XLOOKUP(G99,产品资料!C:C,产品资料!E:E)</f>
        <v>4609底盖（0.8MM)</v>
      </c>
      <c r="I99" s="23" t="str">
        <f>_xlfn.XLOOKUP(G99,产品资料!C:C,产品资料!F:F)</f>
        <v>0.8*552.5*1211</v>
      </c>
      <c r="J99">
        <v>464</v>
      </c>
      <c r="K99">
        <v>1830</v>
      </c>
      <c r="L99">
        <v>1842</v>
      </c>
      <c r="M99" t="s">
        <v>594</v>
      </c>
      <c r="N99" t="s">
        <v>408</v>
      </c>
      <c r="O99" s="21" t="s">
        <v>502</v>
      </c>
      <c r="P99" s="27" t="str">
        <f>ROUND(_xlfn.XLOOKUP(G99,产品资料!C:C,产品资料!O:O)*J99,0)&amp;"/"&amp;IFERROR(ROUND(K99/J99/(_xlfn.XLOOKUP(G99,产品资料!C:C,产品资料!N:N)*7.85),2),0)&amp;"/"&amp;L99-K99</f>
        <v>1929/0.76/12</v>
      </c>
    </row>
    <row r="100" spans="1:16" x14ac:dyDescent="0.15">
      <c r="A100">
        <f t="shared" si="13"/>
        <v>99</v>
      </c>
      <c r="B100" s="21">
        <v>46256</v>
      </c>
      <c r="C100" t="s">
        <v>189</v>
      </c>
      <c r="D100" t="s">
        <v>182</v>
      </c>
      <c r="E100" s="25" t="s">
        <v>253</v>
      </c>
      <c r="F100">
        <v>39407267</v>
      </c>
      <c r="G100" t="s">
        <v>100</v>
      </c>
      <c r="H100" t="str">
        <f>_xlfn.XLOOKUP(G100,产品资料!C:C,产品资料!E:E)</f>
        <v>4609小抽斗(0.8MM)</v>
      </c>
      <c r="I100" s="23" t="str">
        <f>_xlfn.XLOOKUP(G100,产品资料!C:C,产品资料!F:F)</f>
        <v>0.8*418*603</v>
      </c>
      <c r="J100">
        <v>994</v>
      </c>
      <c r="K100">
        <v>1520</v>
      </c>
      <c r="L100">
        <v>1530</v>
      </c>
      <c r="M100" t="s">
        <v>534</v>
      </c>
      <c r="N100" t="s">
        <v>409</v>
      </c>
      <c r="O100" s="21" t="s">
        <v>511</v>
      </c>
      <c r="P100" s="27" t="str">
        <f>ROUND(_xlfn.XLOOKUP(G100,产品资料!C:C,产品资料!O:O)*J100,0)&amp;"/"&amp;IFERROR(ROUND(K100/J100/(_xlfn.XLOOKUP(G100,产品资料!C:C,产品资料!N:N)*7.85),2),0)&amp;"/"&amp;L100-K100</f>
        <v>1563/0.78/10</v>
      </c>
    </row>
    <row r="101" spans="1:16" x14ac:dyDescent="0.15">
      <c r="A101">
        <f t="shared" si="13"/>
        <v>100</v>
      </c>
      <c r="B101" s="21">
        <v>46256</v>
      </c>
      <c r="C101" t="s">
        <v>189</v>
      </c>
      <c r="D101" t="s">
        <v>182</v>
      </c>
      <c r="E101" s="25" t="s">
        <v>253</v>
      </c>
      <c r="F101">
        <v>39407267</v>
      </c>
      <c r="G101" t="s">
        <v>90</v>
      </c>
      <c r="H101" t="str">
        <f>_xlfn.XLOOKUP(G101,产品资料!C:C,产品资料!E:E)</f>
        <v>4609顶长抽斗(0.8MM)</v>
      </c>
      <c r="I101" s="23" t="str">
        <f>_xlfn.XLOOKUP(G101,产品资料!C:C,产品资料!F:F)</f>
        <v>0.8*418*1210</v>
      </c>
      <c r="J101">
        <v>526</v>
      </c>
      <c r="K101">
        <v>1616</v>
      </c>
      <c r="L101">
        <v>1626</v>
      </c>
      <c r="M101" t="s">
        <v>554</v>
      </c>
      <c r="N101" t="s">
        <v>410</v>
      </c>
      <c r="O101" s="21" t="s">
        <v>487</v>
      </c>
      <c r="P101" s="27" t="str">
        <f>ROUND(_xlfn.XLOOKUP(G101,产品资料!C:C,产品资料!O:O)*J101,0)&amp;"/"&amp;IFERROR(ROUND(K101/J101/(_xlfn.XLOOKUP(G101,产品资料!C:C,产品资料!N:N)*7.85),2),0)&amp;"/"&amp;L101-K101</f>
        <v>1665/0.78/10</v>
      </c>
    </row>
    <row r="102" spans="1:16" x14ac:dyDescent="0.15">
      <c r="A102">
        <f t="shared" si="13"/>
        <v>101</v>
      </c>
      <c r="B102" s="21">
        <v>46259</v>
      </c>
      <c r="C102" t="s">
        <v>189</v>
      </c>
      <c r="D102" t="s">
        <v>182</v>
      </c>
      <c r="E102" s="25" t="s">
        <v>253</v>
      </c>
      <c r="F102">
        <v>39407267</v>
      </c>
      <c r="G102" t="s">
        <v>90</v>
      </c>
      <c r="H102" t="str">
        <f>_xlfn.XLOOKUP(G102,产品资料!C:C,产品资料!E:E)</f>
        <v>4609顶长抽斗(0.8MM)</v>
      </c>
      <c r="I102" s="23" t="str">
        <f>_xlfn.XLOOKUP(G102,产品资料!C:C,产品资料!F:F)</f>
        <v>0.8*418*1210</v>
      </c>
      <c r="J102">
        <v>527</v>
      </c>
      <c r="K102">
        <v>1626</v>
      </c>
      <c r="L102">
        <v>1636</v>
      </c>
      <c r="M102" t="s">
        <v>554</v>
      </c>
      <c r="N102" t="s">
        <v>411</v>
      </c>
      <c r="O102" s="21" t="s">
        <v>458</v>
      </c>
      <c r="P102" s="27" t="str">
        <f>ROUND(_xlfn.XLOOKUP(G102,产品资料!C:C,产品资料!O:O)*J102,0)&amp;"/"&amp;IFERROR(ROUND(K102/J102/(_xlfn.XLOOKUP(G102,产品资料!C:C,产品资料!N:N)*7.85),2),0)&amp;"/"&amp;L102-K102</f>
        <v>1668/0.78/10</v>
      </c>
    </row>
    <row r="103" spans="1:16" x14ac:dyDescent="0.15">
      <c r="A103">
        <f t="shared" si="13"/>
        <v>102</v>
      </c>
      <c r="B103" s="21">
        <v>46259</v>
      </c>
      <c r="C103" t="s">
        <v>189</v>
      </c>
      <c r="D103" t="s">
        <v>182</v>
      </c>
      <c r="E103" s="25" t="s">
        <v>253</v>
      </c>
      <c r="F103">
        <v>39407267</v>
      </c>
      <c r="G103" t="s">
        <v>110</v>
      </c>
      <c r="H103" t="str">
        <f>_xlfn.XLOOKUP(G103,产品资料!C:C,产品资料!E:E)</f>
        <v>4609中抽斗(0.8MM)</v>
      </c>
      <c r="I103" s="23" t="str">
        <f>_xlfn.XLOOKUP(G103,产品资料!C:C,产品资料!F:F)</f>
        <v>0.8*418*639</v>
      </c>
      <c r="J103">
        <v>1059</v>
      </c>
      <c r="K103">
        <v>1678</v>
      </c>
      <c r="L103">
        <v>1688</v>
      </c>
      <c r="M103" t="s">
        <v>553</v>
      </c>
      <c r="N103" t="s">
        <v>412</v>
      </c>
      <c r="O103" s="21" t="s">
        <v>496</v>
      </c>
      <c r="P103" s="27" t="str">
        <f>ROUND(_xlfn.XLOOKUP(G103,产品资料!C:C,产品资料!O:O)*J103,0)&amp;"/"&amp;IFERROR(ROUND(K103/J103/(_xlfn.XLOOKUP(G103,产品资料!C:C,产品资料!N:N)*7.85),2),0)&amp;"/"&amp;L103-K103</f>
        <v>1766/0.76/10</v>
      </c>
    </row>
    <row r="104" spans="1:16" x14ac:dyDescent="0.15">
      <c r="A104">
        <f t="shared" si="13"/>
        <v>103</v>
      </c>
      <c r="B104" s="21">
        <v>46259</v>
      </c>
      <c r="C104" t="s">
        <v>189</v>
      </c>
      <c r="D104" t="s">
        <v>182</v>
      </c>
      <c r="E104" s="25" t="s">
        <v>253</v>
      </c>
      <c r="F104">
        <v>39407267</v>
      </c>
      <c r="G104" t="s">
        <v>90</v>
      </c>
      <c r="H104" t="str">
        <f>_xlfn.XLOOKUP(G104,产品资料!C:C,产品资料!E:E)</f>
        <v>4609顶长抽斗(0.8MM)</v>
      </c>
      <c r="I104" s="23" t="str">
        <f>_xlfn.XLOOKUP(G104,产品资料!C:C,产品资料!F:F)</f>
        <v>0.8*418*1210</v>
      </c>
      <c r="J104">
        <v>519</v>
      </c>
      <c r="K104">
        <v>1590</v>
      </c>
      <c r="L104">
        <v>1600</v>
      </c>
      <c r="M104" t="s">
        <v>571</v>
      </c>
      <c r="N104" t="s">
        <v>413</v>
      </c>
      <c r="O104" s="21" t="s">
        <v>523</v>
      </c>
      <c r="P104" s="27" t="str">
        <f>ROUND(_xlfn.XLOOKUP(G104,产品资料!C:C,产品资料!O:O)*J104,0)&amp;"/"&amp;IFERROR(ROUND(K104/J104/(_xlfn.XLOOKUP(G104,产品资料!C:C,产品资料!N:N)*7.85),2),0)&amp;"/"&amp;L104-K104</f>
        <v>1643/0.77/10</v>
      </c>
    </row>
    <row r="105" spans="1:16" x14ac:dyDescent="0.15">
      <c r="A105">
        <f t="shared" si="13"/>
        <v>104</v>
      </c>
      <c r="B105" s="21">
        <v>46259</v>
      </c>
      <c r="C105" t="s">
        <v>189</v>
      </c>
      <c r="D105" t="s">
        <v>182</v>
      </c>
      <c r="E105" s="25" t="s">
        <v>253</v>
      </c>
      <c r="F105">
        <v>39407267</v>
      </c>
      <c r="G105" t="s">
        <v>105</v>
      </c>
      <c r="H105" t="str">
        <f>_xlfn.XLOOKUP(G105,产品资料!C:C,产品资料!E:E)</f>
        <v>4609小拉手(0.8MM）</v>
      </c>
      <c r="I105" t="str">
        <f>_xlfn.XLOOKUP(G105,产品资料!C:C,产品资料!F:F)</f>
        <v>0.8*142*515</v>
      </c>
      <c r="J105">
        <v>2100</v>
      </c>
      <c r="K105">
        <v>912</v>
      </c>
      <c r="L105">
        <v>918</v>
      </c>
      <c r="M105" t="s">
        <v>550</v>
      </c>
      <c r="N105" t="s">
        <v>414</v>
      </c>
      <c r="O105" s="21" t="s">
        <v>487</v>
      </c>
      <c r="P105" s="27" t="str">
        <f>ROUND(_xlfn.XLOOKUP(G105,产品资料!C:C,产品资料!O:O)*J105,0)&amp;"/"&amp;IFERROR(ROUND(K105/J105/(_xlfn.XLOOKUP(G105,产品资料!C:C,产品资料!N:N)*7.85),2),0)&amp;"/"&amp;L105-K105</f>
        <v>960/0.76/6</v>
      </c>
    </row>
    <row r="106" spans="1:16" x14ac:dyDescent="0.15">
      <c r="A106">
        <f t="shared" si="13"/>
        <v>105</v>
      </c>
      <c r="B106" s="21">
        <v>46260</v>
      </c>
      <c r="C106" t="s">
        <v>189</v>
      </c>
      <c r="D106" t="s">
        <v>182</v>
      </c>
      <c r="E106" s="25" t="s">
        <v>253</v>
      </c>
      <c r="F106">
        <v>39407267</v>
      </c>
      <c r="G106" t="s">
        <v>100</v>
      </c>
      <c r="H106" t="str">
        <f>_xlfn.XLOOKUP(G106,产品资料!C:C,产品资料!E:E)</f>
        <v>4609小抽斗(0.8MM)</v>
      </c>
      <c r="I106" t="str">
        <f>_xlfn.XLOOKUP(G106,产品资料!C:C,产品资料!F:F)</f>
        <v>0.8*418*603</v>
      </c>
      <c r="J106">
        <v>989</v>
      </c>
      <c r="K106">
        <v>1478</v>
      </c>
      <c r="L106">
        <v>1488</v>
      </c>
      <c r="M106" t="s">
        <v>546</v>
      </c>
      <c r="N106" t="s">
        <v>415</v>
      </c>
      <c r="O106" s="21" t="s">
        <v>469</v>
      </c>
      <c r="P106" s="27" t="str">
        <f>ROUND(_xlfn.XLOOKUP(G106,产品资料!C:C,产品资料!O:O)*J106,0)&amp;"/"&amp;IFERROR(ROUND(K106/J106/(_xlfn.XLOOKUP(G106,产品资料!C:C,产品资料!N:N)*7.85),2),0)&amp;"/"&amp;L106-K106</f>
        <v>1555/0.76/10</v>
      </c>
    </row>
    <row r="107" spans="1:16" x14ac:dyDescent="0.15">
      <c r="A107">
        <f t="shared" si="13"/>
        <v>106</v>
      </c>
      <c r="B107" s="21">
        <v>46261</v>
      </c>
      <c r="C107" t="s">
        <v>189</v>
      </c>
      <c r="D107" t="s">
        <v>182</v>
      </c>
      <c r="E107" s="25" t="s">
        <v>253</v>
      </c>
      <c r="F107">
        <v>39407267</v>
      </c>
      <c r="G107" t="s">
        <v>40</v>
      </c>
      <c r="H107" t="str">
        <f>_xlfn.XLOOKUP(G107,产品资料!C:C,产品资料!E:E)</f>
        <v>4609底盖（0.8MM)</v>
      </c>
      <c r="I107" t="str">
        <f>_xlfn.XLOOKUP(G107,产品资料!C:C,产品资料!F:F)</f>
        <v>0.8*552.5*1211</v>
      </c>
      <c r="J107">
        <v>388</v>
      </c>
      <c r="K107">
        <v>1534</v>
      </c>
      <c r="L107">
        <v>1544</v>
      </c>
      <c r="M107" t="s">
        <v>610</v>
      </c>
      <c r="N107" t="s">
        <v>416</v>
      </c>
      <c r="O107" s="21" t="s">
        <v>483</v>
      </c>
      <c r="P107" s="27" t="str">
        <f>ROUND(_xlfn.XLOOKUP(G107,产品资料!C:C,产品资料!O:O)*J107,0)&amp;"/"&amp;IFERROR(ROUND(K107/J107/(_xlfn.XLOOKUP(G107,产品资料!C:C,产品资料!N:N)*7.85),2),0)&amp;"/"&amp;L107-K107</f>
        <v>1613/0.76/10</v>
      </c>
    </row>
    <row r="108" spans="1:16" x14ac:dyDescent="0.15">
      <c r="A108">
        <f t="shared" si="13"/>
        <v>107</v>
      </c>
      <c r="B108" s="21">
        <v>46261</v>
      </c>
      <c r="C108" t="s">
        <v>189</v>
      </c>
      <c r="D108" t="s">
        <v>182</v>
      </c>
      <c r="E108" s="25" t="s">
        <v>253</v>
      </c>
      <c r="F108">
        <v>39407267</v>
      </c>
      <c r="G108" t="s">
        <v>35</v>
      </c>
      <c r="H108" t="str">
        <f>_xlfn.XLOOKUP(G108,产品资料!C:C,产品资料!E:E)</f>
        <v>4609顶盖（0.8MM)</v>
      </c>
      <c r="I108" t="str">
        <f>_xlfn.XLOOKUP(G108,产品资料!C:C,产品资料!F:F)</f>
        <v>0.8*552*1168.5</v>
      </c>
      <c r="J108">
        <v>466</v>
      </c>
      <c r="K108">
        <v>1785</v>
      </c>
      <c r="L108">
        <v>1795</v>
      </c>
      <c r="M108" t="s">
        <v>580</v>
      </c>
      <c r="N108" t="s">
        <v>417</v>
      </c>
      <c r="O108" s="21" t="s">
        <v>489</v>
      </c>
      <c r="P108" s="27" t="str">
        <f>ROUND(_xlfn.XLOOKUP(G108,产品资料!C:C,产品资料!O:O)*J108,0)&amp;"/"&amp;IFERROR(ROUND(K108/J108/(_xlfn.XLOOKUP(G108,产品资料!C:C,产品资料!N:N)*7.85),2),0)&amp;"/"&amp;L108-K108</f>
        <v>1884/0.76/10</v>
      </c>
    </row>
    <row r="109" spans="1:16" x14ac:dyDescent="0.15">
      <c r="A109">
        <f t="shared" si="13"/>
        <v>108</v>
      </c>
      <c r="B109" s="21">
        <v>46261</v>
      </c>
      <c r="C109" t="s">
        <v>189</v>
      </c>
      <c r="D109" t="s">
        <v>182</v>
      </c>
      <c r="E109" s="25" t="s">
        <v>253</v>
      </c>
      <c r="F109">
        <v>39407267</v>
      </c>
      <c r="G109" t="s">
        <v>35</v>
      </c>
      <c r="H109" t="str">
        <f>_xlfn.XLOOKUP(G109,产品资料!C:C,产品资料!E:E)</f>
        <v>4609顶盖（0.8MM)</v>
      </c>
      <c r="I109" t="str">
        <f>_xlfn.XLOOKUP(G109,产品资料!C:C,产品资料!F:F)</f>
        <v>0.8*552*1168.5</v>
      </c>
      <c r="J109">
        <v>467</v>
      </c>
      <c r="K109">
        <v>1792</v>
      </c>
      <c r="L109">
        <v>1802</v>
      </c>
      <c r="M109" t="s">
        <v>570</v>
      </c>
      <c r="N109" t="s">
        <v>418</v>
      </c>
      <c r="O109" s="21" t="s">
        <v>495</v>
      </c>
      <c r="P109" s="27" t="str">
        <f>ROUND(_xlfn.XLOOKUP(G109,产品资料!C:C,产品资料!O:O)*J109,0)&amp;"/"&amp;IFERROR(ROUND(K109/J109/(_xlfn.XLOOKUP(G109,产品资料!C:C,产品资料!N:N)*7.85),2),0)&amp;"/"&amp;L109-K109</f>
        <v>1888/0.76/10</v>
      </c>
    </row>
    <row r="110" spans="1:16" x14ac:dyDescent="0.15">
      <c r="A110">
        <f t="shared" si="13"/>
        <v>109</v>
      </c>
      <c r="B110" s="21">
        <v>46261</v>
      </c>
      <c r="C110" t="s">
        <v>189</v>
      </c>
      <c r="D110" t="s">
        <v>182</v>
      </c>
      <c r="E110" s="25" t="s">
        <v>253</v>
      </c>
      <c r="F110">
        <v>39407267</v>
      </c>
      <c r="G110" t="s">
        <v>65</v>
      </c>
      <c r="H110" t="str">
        <f>_xlfn.XLOOKUP(G110,产品资料!C:C,产品资料!E:E)</f>
        <v>4609中隔板(0.8MM)</v>
      </c>
      <c r="I110" t="str">
        <f>_xlfn.XLOOKUP(G110,产品资料!C:C,产品资料!F:F)</f>
        <v>0.8*481.5*550</v>
      </c>
      <c r="J110">
        <v>530</v>
      </c>
      <c r="K110">
        <v>839</v>
      </c>
      <c r="L110">
        <v>845</v>
      </c>
      <c r="M110" t="s">
        <v>601</v>
      </c>
      <c r="N110" t="s">
        <v>419</v>
      </c>
      <c r="O110" s="21" t="s">
        <v>496</v>
      </c>
      <c r="P110" s="27" t="str">
        <f>ROUND(_xlfn.XLOOKUP(G110,产品资料!C:C,产品资料!O:O)*J110,0)&amp;"/"&amp;IFERROR(ROUND(K110/J110/(_xlfn.XLOOKUP(G110,产品资料!C:C,产品资料!N:N)*7.85),2),0)&amp;"/"&amp;L110-K110</f>
        <v>880/0.76/6</v>
      </c>
    </row>
    <row r="111" spans="1:16" x14ac:dyDescent="0.15">
      <c r="A111">
        <f t="shared" si="13"/>
        <v>110</v>
      </c>
      <c r="B111" s="21">
        <v>46262</v>
      </c>
      <c r="C111" t="s">
        <v>189</v>
      </c>
      <c r="D111" t="s">
        <v>182</v>
      </c>
      <c r="E111" s="25" t="s">
        <v>253</v>
      </c>
      <c r="F111">
        <v>39407267</v>
      </c>
      <c r="G111" t="s">
        <v>110</v>
      </c>
      <c r="H111" t="str">
        <f>_xlfn.XLOOKUP(G111,产品资料!C:C,产品资料!E:E)</f>
        <v>4609中抽斗(0.8MM)</v>
      </c>
      <c r="I111" t="str">
        <f>_xlfn.XLOOKUP(G111,产品资料!C:C,产品资料!F:F)</f>
        <v>0.8*418*639</v>
      </c>
      <c r="J111">
        <v>1030</v>
      </c>
      <c r="K111">
        <v>1628</v>
      </c>
      <c r="L111">
        <v>1638</v>
      </c>
      <c r="M111" t="s">
        <v>549</v>
      </c>
      <c r="N111" t="s">
        <v>420</v>
      </c>
      <c r="O111" s="21" t="s">
        <v>503</v>
      </c>
      <c r="P111" s="27" t="str">
        <f>ROUND(_xlfn.XLOOKUP(G111,产品资料!C:C,产品资料!O:O)*J111,0)&amp;"/"&amp;IFERROR(ROUND(K111/J111/(_xlfn.XLOOKUP(G111,产品资料!C:C,产品资料!N:N)*7.85),2),0)&amp;"/"&amp;L111-K111</f>
        <v>1717/0.76/10</v>
      </c>
    </row>
    <row r="112" spans="1:16" x14ac:dyDescent="0.15">
      <c r="A112">
        <f t="shared" si="13"/>
        <v>111</v>
      </c>
      <c r="B112" s="21">
        <v>46262</v>
      </c>
      <c r="C112" t="s">
        <v>189</v>
      </c>
      <c r="D112" t="s">
        <v>182</v>
      </c>
      <c r="E112" s="25" t="s">
        <v>253</v>
      </c>
      <c r="F112">
        <v>39407267</v>
      </c>
      <c r="G112" t="s">
        <v>100</v>
      </c>
      <c r="H112" t="str">
        <f>_xlfn.XLOOKUP(G112,产品资料!C:C,产品资料!E:E)</f>
        <v>4609小抽斗(0.8MM)</v>
      </c>
      <c r="I112" t="str">
        <f>_xlfn.XLOOKUP(G112,产品资料!C:C,产品资料!F:F)</f>
        <v>0.8*418*603</v>
      </c>
      <c r="J112">
        <v>1008</v>
      </c>
      <c r="K112">
        <v>1510</v>
      </c>
      <c r="L112">
        <v>1520</v>
      </c>
      <c r="M112" t="s">
        <v>534</v>
      </c>
      <c r="N112" t="s">
        <v>421</v>
      </c>
      <c r="O112" s="21" t="s">
        <v>506</v>
      </c>
      <c r="P112" s="27" t="str">
        <f>ROUND(_xlfn.XLOOKUP(G112,产品资料!C:C,产品资料!O:O)*J112,0)&amp;"/"&amp;IFERROR(ROUND(K112/J112/(_xlfn.XLOOKUP(G112,产品资料!C:C,产品资料!N:N)*7.85),2),0)&amp;"/"&amp;L112-K112</f>
        <v>1585/0.76/10</v>
      </c>
    </row>
    <row r="113" spans="1:16" x14ac:dyDescent="0.15">
      <c r="A113">
        <f t="shared" si="13"/>
        <v>112</v>
      </c>
      <c r="B113" s="21">
        <v>46262</v>
      </c>
      <c r="C113" t="s">
        <v>189</v>
      </c>
      <c r="D113" t="s">
        <v>182</v>
      </c>
      <c r="E113" s="25" t="s">
        <v>253</v>
      </c>
      <c r="F113">
        <v>39407267</v>
      </c>
      <c r="G113" t="s">
        <v>35</v>
      </c>
      <c r="H113" t="str">
        <f>_xlfn.XLOOKUP(G113,产品资料!C:C,产品资料!E:E)</f>
        <v>4609顶盖（0.8MM)</v>
      </c>
      <c r="I113" t="str">
        <f>_xlfn.XLOOKUP(G113,产品资料!C:C,产品资料!F:F)</f>
        <v>0.8*552*1168.5</v>
      </c>
      <c r="J113">
        <v>460</v>
      </c>
      <c r="K113">
        <v>1752</v>
      </c>
      <c r="L113">
        <v>1762</v>
      </c>
      <c r="M113" t="s">
        <v>570</v>
      </c>
      <c r="N113" t="s">
        <v>444</v>
      </c>
      <c r="O113" s="21" t="s">
        <v>506</v>
      </c>
      <c r="P113" s="27" t="str">
        <f>ROUND(_xlfn.XLOOKUP(G113,产品资料!C:C,产品资料!O:O)*J113,0)&amp;"/"&amp;IFERROR(ROUND(K113/J113/(_xlfn.XLOOKUP(G113,产品资料!C:C,产品资料!N:N)*7.85),2),0)&amp;"/"&amp;L113-K113</f>
        <v>1859/0.75/10</v>
      </c>
    </row>
    <row r="114" spans="1:16" x14ac:dyDescent="0.15">
      <c r="A114">
        <f t="shared" si="13"/>
        <v>113</v>
      </c>
      <c r="B114" s="21">
        <v>46263</v>
      </c>
      <c r="C114" t="s">
        <v>189</v>
      </c>
      <c r="D114" t="s">
        <v>182</v>
      </c>
      <c r="E114" s="25" t="s">
        <v>253</v>
      </c>
      <c r="F114">
        <v>39407267</v>
      </c>
      <c r="G114" t="s">
        <v>35</v>
      </c>
      <c r="H114" t="str">
        <f>_xlfn.XLOOKUP(G114,产品资料!C:C,产品资料!E:E)</f>
        <v>4609顶盖（0.8MM)</v>
      </c>
      <c r="I114" t="str">
        <f>_xlfn.XLOOKUP(G114,产品资料!C:C,产品资料!F:F)</f>
        <v>0.8*552*1168.5</v>
      </c>
      <c r="J114">
        <v>444</v>
      </c>
      <c r="K114">
        <v>1722</v>
      </c>
      <c r="L114">
        <v>1732</v>
      </c>
      <c r="M114" t="s">
        <v>611</v>
      </c>
      <c r="N114" t="s">
        <v>445</v>
      </c>
      <c r="O114" s="21" t="s">
        <v>560</v>
      </c>
      <c r="P114" s="27" t="str">
        <f>ROUND(_xlfn.XLOOKUP(G114,产品资料!C:C,产品资料!O:O)*J114,0)&amp;"/"&amp;IFERROR(ROUND(K114/J114/(_xlfn.XLOOKUP(G114,产品资料!C:C,产品资料!N:N)*7.85),2),0)&amp;"/"&amp;L114-K114</f>
        <v>1795/0.77/10</v>
      </c>
    </row>
    <row r="115" spans="1:16" x14ac:dyDescent="0.15">
      <c r="A115">
        <f t="shared" ref="A115:A119" si="14">ROW()-1</f>
        <v>114</v>
      </c>
      <c r="B115" s="21">
        <v>46266</v>
      </c>
      <c r="C115" t="s">
        <v>189</v>
      </c>
      <c r="D115" t="s">
        <v>182</v>
      </c>
      <c r="E115" s="25" t="s">
        <v>253</v>
      </c>
      <c r="F115">
        <v>39407267</v>
      </c>
      <c r="G115" t="s">
        <v>115</v>
      </c>
      <c r="H115" t="str">
        <f>_xlfn.XLOOKUP(G115,产品资料!C:C,产品资料!E:E)</f>
        <v>4609中拉手(0.8MM）</v>
      </c>
      <c r="I115" t="str">
        <f>_xlfn.XLOOKUP(G115,产品资料!C:C,产品资料!F:F)</f>
        <v>0.8*155*515</v>
      </c>
      <c r="J115">
        <v>1825</v>
      </c>
      <c r="K115">
        <v>870</v>
      </c>
      <c r="L115">
        <v>876</v>
      </c>
      <c r="M115" t="s">
        <v>609</v>
      </c>
      <c r="N115" t="s">
        <v>422</v>
      </c>
      <c r="O115" s="21" t="s">
        <v>576</v>
      </c>
      <c r="P115" s="27" t="str">
        <f>ROUND(_xlfn.XLOOKUP(G115,产品资料!C:C,产品资料!O:O)*J115,0)&amp;"/"&amp;IFERROR(ROUND(K115/J115/(_xlfn.XLOOKUP(G115,产品资料!C:C,产品资料!N:N)*7.85),2),0)&amp;"/"&amp;L115-K115</f>
        <v>911/0.76/6</v>
      </c>
    </row>
    <row r="116" spans="1:16" x14ac:dyDescent="0.15">
      <c r="A116">
        <f t="shared" si="14"/>
        <v>115</v>
      </c>
      <c r="B116" s="21">
        <v>46266</v>
      </c>
      <c r="C116" t="s">
        <v>189</v>
      </c>
      <c r="D116" t="s">
        <v>182</v>
      </c>
      <c r="E116" s="25" t="s">
        <v>253</v>
      </c>
      <c r="F116">
        <v>39407267</v>
      </c>
      <c r="G116" t="s">
        <v>40</v>
      </c>
      <c r="H116" t="str">
        <f>_xlfn.XLOOKUP(G116,产品资料!C:C,产品资料!E:E)</f>
        <v>4609底盖（0.8MM)</v>
      </c>
      <c r="I116" t="str">
        <f>_xlfn.XLOOKUP(G116,产品资料!C:C,产品资料!F:F)</f>
        <v>0.8*552.5*1211</v>
      </c>
      <c r="J116">
        <v>488</v>
      </c>
      <c r="K116">
        <v>1926</v>
      </c>
      <c r="L116">
        <v>1936</v>
      </c>
      <c r="M116" t="s">
        <v>612</v>
      </c>
      <c r="N116" t="s">
        <v>423</v>
      </c>
      <c r="O116" s="21" t="s">
        <v>500</v>
      </c>
      <c r="P116" s="27" t="str">
        <f>ROUND(_xlfn.XLOOKUP(G116,产品资料!C:C,产品资料!O:O)*J116,0)&amp;"/"&amp;IFERROR(ROUND(K116/J116/(_xlfn.XLOOKUP(G116,产品资料!C:C,产品资料!N:N)*7.85),2),0)&amp;"/"&amp;L116-K116</f>
        <v>2028/0.76/10</v>
      </c>
    </row>
    <row r="117" spans="1:16" x14ac:dyDescent="0.15">
      <c r="A117">
        <f t="shared" si="14"/>
        <v>116</v>
      </c>
      <c r="B117" s="21">
        <v>46266</v>
      </c>
      <c r="C117" t="s">
        <v>189</v>
      </c>
      <c r="D117" t="s">
        <v>182</v>
      </c>
      <c r="E117" s="25" t="s">
        <v>290</v>
      </c>
      <c r="F117">
        <v>39407267</v>
      </c>
      <c r="G117" t="s">
        <v>100</v>
      </c>
      <c r="H117" t="str">
        <f>_xlfn.XLOOKUP(G117,产品资料!C:C,产品资料!E:E)</f>
        <v>4609小抽斗(0.8MM)</v>
      </c>
      <c r="I117" t="str">
        <f>_xlfn.XLOOKUP(G117,产品资料!C:C,产品资料!F:F)</f>
        <v>0.8*418*603</v>
      </c>
      <c r="J117">
        <v>899</v>
      </c>
      <c r="K117">
        <v>1344</v>
      </c>
      <c r="L117">
        <v>1354</v>
      </c>
      <c r="M117" t="s">
        <v>613</v>
      </c>
      <c r="N117" t="s">
        <v>424</v>
      </c>
      <c r="O117" s="21" t="s">
        <v>503</v>
      </c>
      <c r="P117" s="27" t="str">
        <f>ROUND(_xlfn.XLOOKUP(G117,产品资料!C:C,产品资料!O:O)*J117,0)&amp;"/"&amp;IFERROR(ROUND(K117/J117/(_xlfn.XLOOKUP(G117,产品资料!C:C,产品资料!N:N)*7.85),2),0)&amp;"/"&amp;L117-K117</f>
        <v>1414/0.76/10</v>
      </c>
    </row>
    <row r="118" spans="1:16" x14ac:dyDescent="0.15">
      <c r="A118">
        <f t="shared" si="14"/>
        <v>117</v>
      </c>
      <c r="B118" s="21">
        <v>46267</v>
      </c>
      <c r="C118" t="s">
        <v>189</v>
      </c>
      <c r="D118" t="s">
        <v>182</v>
      </c>
      <c r="E118" s="25" t="s">
        <v>290</v>
      </c>
      <c r="F118">
        <v>39407267</v>
      </c>
      <c r="G118" t="s">
        <v>65</v>
      </c>
      <c r="H118" t="str">
        <f>_xlfn.XLOOKUP(G118,产品资料!C:C,产品资料!E:E)</f>
        <v>4609中隔板(0.8MM)</v>
      </c>
      <c r="I118" t="str">
        <f>_xlfn.XLOOKUP(G118,产品资料!C:C,产品资料!F:F)</f>
        <v>0.8*481.5*550</v>
      </c>
      <c r="J118">
        <v>519</v>
      </c>
      <c r="K118">
        <v>816</v>
      </c>
      <c r="L118">
        <v>824</v>
      </c>
      <c r="M118" t="s">
        <v>565</v>
      </c>
      <c r="N118" t="s">
        <v>425</v>
      </c>
      <c r="O118" s="21" t="s">
        <v>484</v>
      </c>
      <c r="P118" s="27" t="str">
        <f>ROUND(_xlfn.XLOOKUP(G118,产品资料!C:C,产品资料!O:O)*J118,0)&amp;"/"&amp;IFERROR(ROUND(K118/J118/(_xlfn.XLOOKUP(G118,产品资料!C:C,产品资料!N:N)*7.85),2),0)&amp;"/"&amp;L118-K118</f>
        <v>862/0.76/8</v>
      </c>
    </row>
    <row r="119" spans="1:16" x14ac:dyDescent="0.15">
      <c r="A119">
        <f t="shared" si="14"/>
        <v>118</v>
      </c>
      <c r="B119" s="21">
        <v>46267</v>
      </c>
      <c r="C119" t="s">
        <v>189</v>
      </c>
      <c r="D119" t="s">
        <v>182</v>
      </c>
      <c r="E119" s="25" t="s">
        <v>290</v>
      </c>
      <c r="F119">
        <v>39407267</v>
      </c>
      <c r="G119" t="s">
        <v>70</v>
      </c>
      <c r="H119" t="str">
        <f>_xlfn.XLOOKUP(G119,产品资料!C:C,产品资料!E:E)</f>
        <v>4609中隔内垫板(0.8MM)</v>
      </c>
      <c r="I119" t="str">
        <f>_xlfn.XLOOKUP(G119,产品资料!C:C,产品资料!F:F)</f>
        <v>0.8*112*550</v>
      </c>
      <c r="J119">
        <v>1925</v>
      </c>
      <c r="K119">
        <v>728</v>
      </c>
      <c r="L119">
        <v>736</v>
      </c>
      <c r="M119" t="s">
        <v>614</v>
      </c>
      <c r="N119" t="s">
        <v>426</v>
      </c>
      <c r="O119" s="21" t="s">
        <v>503</v>
      </c>
      <c r="P119" s="27" t="str">
        <f>ROUND(_xlfn.XLOOKUP(G119,产品资料!C:C,产品资料!O:O)*J119,0)&amp;"/"&amp;IFERROR(ROUND(K119/J119/(_xlfn.XLOOKUP(G119,产品资料!C:C,产品资料!N:N)*7.85),2),0)&amp;"/"&amp;L119-K119</f>
        <v>743/0.78/8</v>
      </c>
    </row>
    <row r="120" spans="1:16" x14ac:dyDescent="0.15">
      <c r="A120">
        <f t="shared" ref="A120:A142" si="15">ROW()-1</f>
        <v>119</v>
      </c>
      <c r="B120" s="21">
        <v>46272</v>
      </c>
      <c r="C120" t="s">
        <v>191</v>
      </c>
      <c r="D120" t="s">
        <v>182</v>
      </c>
      <c r="E120" s="25" t="s">
        <v>290</v>
      </c>
      <c r="F120">
        <v>39407267</v>
      </c>
      <c r="G120" t="s">
        <v>105</v>
      </c>
      <c r="H120" t="str">
        <f>_xlfn.XLOOKUP(G120,产品资料!C:C,产品资料!E:E)</f>
        <v>4609小拉手(0.8MM）</v>
      </c>
      <c r="I120" t="str">
        <f>_xlfn.XLOOKUP(G120,产品资料!C:C,产品资料!F:F)</f>
        <v>0.8*142*515</v>
      </c>
      <c r="J120">
        <v>2090</v>
      </c>
      <c r="K120">
        <v>904</v>
      </c>
      <c r="L120">
        <v>912</v>
      </c>
      <c r="M120" t="s">
        <v>550</v>
      </c>
      <c r="N120" t="s">
        <v>427</v>
      </c>
      <c r="O120" s="21" t="s">
        <v>511</v>
      </c>
      <c r="P120" s="27" t="str">
        <f>ROUND(_xlfn.XLOOKUP(G120,产品资料!C:C,产品资料!O:O)*J120,0)&amp;"/"&amp;IFERROR(ROUND(K120/J120/(_xlfn.XLOOKUP(G120,产品资料!C:C,产品资料!N:N)*7.85),2),0)&amp;"/"&amp;L120-K120</f>
        <v>955/0.76/8</v>
      </c>
    </row>
    <row r="121" spans="1:16" x14ac:dyDescent="0.15">
      <c r="A121">
        <f t="shared" si="15"/>
        <v>120</v>
      </c>
      <c r="B121" s="21">
        <v>46273</v>
      </c>
      <c r="C121" t="s">
        <v>189</v>
      </c>
      <c r="D121" t="s">
        <v>182</v>
      </c>
      <c r="E121" s="25" t="s">
        <v>290</v>
      </c>
      <c r="F121">
        <v>39407267</v>
      </c>
      <c r="G121" t="s">
        <v>100</v>
      </c>
      <c r="H121" t="str">
        <f>_xlfn.XLOOKUP(G121,产品资料!C:C,产品资料!E:E)</f>
        <v>4609小抽斗(0.8MM)</v>
      </c>
      <c r="I121" t="str">
        <f>_xlfn.XLOOKUP(G121,产品资料!C:C,产品资料!F:F)</f>
        <v>0.8*418*603</v>
      </c>
      <c r="J121">
        <v>997</v>
      </c>
      <c r="K121">
        <v>1486</v>
      </c>
      <c r="L121">
        <v>1496</v>
      </c>
      <c r="M121" t="s">
        <v>538</v>
      </c>
      <c r="N121" t="s">
        <v>428</v>
      </c>
      <c r="O121" s="21" t="s">
        <v>505</v>
      </c>
      <c r="P121" s="27" t="str">
        <f>ROUND(_xlfn.XLOOKUP(G121,产品资料!C:C,产品资料!O:O)*J121,0)&amp;"/"&amp;IFERROR(ROUND(K121/J121/(_xlfn.XLOOKUP(G121,产品资料!C:C,产品资料!N:N)*7.85),2),0)&amp;"/"&amp;L121-K121</f>
        <v>1568/0.76/10</v>
      </c>
    </row>
    <row r="122" spans="1:16" x14ac:dyDescent="0.15">
      <c r="A122">
        <f t="shared" si="15"/>
        <v>121</v>
      </c>
      <c r="B122" s="21">
        <v>46273</v>
      </c>
      <c r="C122" t="s">
        <v>189</v>
      </c>
      <c r="D122" t="s">
        <v>182</v>
      </c>
      <c r="E122" s="25" t="s">
        <v>290</v>
      </c>
      <c r="F122">
        <v>39407267</v>
      </c>
      <c r="G122" t="s">
        <v>75</v>
      </c>
      <c r="H122" t="str">
        <f>_xlfn.XLOOKUP(G122,产品资料!C:C,产品资料!E:E)</f>
        <v>4609中隔内垫板大槽(0.8MM)</v>
      </c>
      <c r="I122" t="str">
        <f>_xlfn.XLOOKUP(G122,产品资料!C:C,产品资料!F:F)</f>
        <v>0.8*137*550</v>
      </c>
      <c r="J122">
        <v>1852</v>
      </c>
      <c r="K122">
        <v>846</v>
      </c>
      <c r="L122">
        <v>854</v>
      </c>
      <c r="M122" t="s">
        <v>592</v>
      </c>
      <c r="N122" t="s">
        <v>429</v>
      </c>
      <c r="O122" s="21" t="s">
        <v>560</v>
      </c>
      <c r="P122" s="27" t="str">
        <f>ROUND(_xlfn.XLOOKUP(G122,产品资料!C:C,产品资料!O:O)*J122,0)&amp;"/"&amp;IFERROR(ROUND(K122/J122/(_xlfn.XLOOKUP(G122,产品资料!C:C,产品资料!N:N)*7.85),2),0)&amp;"/"&amp;L122-K122</f>
        <v>876/0.77/8</v>
      </c>
    </row>
    <row r="123" spans="1:16" x14ac:dyDescent="0.15">
      <c r="A123">
        <f t="shared" si="15"/>
        <v>122</v>
      </c>
      <c r="B123" s="21">
        <v>46273</v>
      </c>
      <c r="C123" t="s">
        <v>189</v>
      </c>
      <c r="D123" t="s">
        <v>182</v>
      </c>
      <c r="E123" s="25" t="s">
        <v>290</v>
      </c>
      <c r="F123">
        <v>39407267</v>
      </c>
      <c r="G123" t="s">
        <v>120</v>
      </c>
      <c r="H123" t="str">
        <f>_xlfn.XLOOKUP(G123,产品资料!C:C,产品资料!E:E)</f>
        <v>4609大抽斗(0.8MM)</v>
      </c>
      <c r="I123" t="str">
        <f>_xlfn.XLOOKUP(G123,产品资料!C:C,产品资料!F:F)</f>
        <v>0.8*418*919</v>
      </c>
      <c r="J123">
        <v>511</v>
      </c>
      <c r="K123">
        <v>1176</v>
      </c>
      <c r="L123">
        <v>1186</v>
      </c>
      <c r="M123" t="s">
        <v>598</v>
      </c>
      <c r="N123" t="s">
        <v>430</v>
      </c>
      <c r="O123" s="21" t="s">
        <v>576</v>
      </c>
      <c r="P123" s="27" t="str">
        <f>ROUND(_xlfn.XLOOKUP(G123,产品资料!C:C,产品资料!O:O)*J123,0)&amp;"/"&amp;IFERROR(ROUND(K123/J123/(_xlfn.XLOOKUP(G123,产品资料!C:C,产品资料!N:N)*7.85),2),0)&amp;"/"&amp;L123-K123</f>
        <v>1227/0.77/10</v>
      </c>
    </row>
    <row r="124" spans="1:16" x14ac:dyDescent="0.15">
      <c r="A124">
        <f t="shared" si="15"/>
        <v>123</v>
      </c>
      <c r="B124" s="21">
        <v>46273</v>
      </c>
      <c r="C124" t="s">
        <v>189</v>
      </c>
      <c r="D124" t="s">
        <v>182</v>
      </c>
      <c r="E124" s="25" t="s">
        <v>290</v>
      </c>
      <c r="F124">
        <v>39407267</v>
      </c>
      <c r="G124" t="s">
        <v>100</v>
      </c>
      <c r="H124" t="str">
        <f>_xlfn.XLOOKUP(G124,产品资料!C:C,产品资料!E:E)</f>
        <v>4609小抽斗(0.8MM)</v>
      </c>
      <c r="I124" t="str">
        <f>_xlfn.XLOOKUP(G124,产品资料!C:C,产品资料!F:F)</f>
        <v>0.8*418*603</v>
      </c>
      <c r="J124">
        <v>999</v>
      </c>
      <c r="K124">
        <v>1496</v>
      </c>
      <c r="L124">
        <v>1506</v>
      </c>
      <c r="M124" t="s">
        <v>538</v>
      </c>
      <c r="N124" t="s">
        <v>431</v>
      </c>
      <c r="O124" s="21" t="s">
        <v>495</v>
      </c>
      <c r="P124" s="27" t="str">
        <f>ROUND(_xlfn.XLOOKUP(G124,产品资料!C:C,产品资料!O:O)*J124,0)&amp;"/"&amp;IFERROR(ROUND(K124/J124/(_xlfn.XLOOKUP(G124,产品资料!C:C,产品资料!N:N)*7.85),2),0)&amp;"/"&amp;L124-K124</f>
        <v>1571/0.76/10</v>
      </c>
    </row>
    <row r="125" spans="1:16" x14ac:dyDescent="0.15">
      <c r="A125">
        <f t="shared" si="15"/>
        <v>124</v>
      </c>
      <c r="B125" s="21">
        <v>46274</v>
      </c>
      <c r="C125" t="s">
        <v>189</v>
      </c>
      <c r="D125" t="s">
        <v>182</v>
      </c>
      <c r="E125" s="25" t="s">
        <v>290</v>
      </c>
      <c r="F125">
        <v>39407267</v>
      </c>
      <c r="G125" t="s">
        <v>70</v>
      </c>
      <c r="H125" t="str">
        <f>_xlfn.XLOOKUP(G125,产品资料!C:C,产品资料!E:E)</f>
        <v>4609中隔内垫板(0.8MM)</v>
      </c>
      <c r="I125" t="str">
        <f>_xlfn.XLOOKUP(G125,产品资料!C:C,产品资料!F:F)</f>
        <v>0.8*112*550</v>
      </c>
      <c r="J125">
        <v>1738</v>
      </c>
      <c r="K125">
        <v>639</v>
      </c>
      <c r="L125">
        <v>645</v>
      </c>
      <c r="M125" t="s">
        <v>615</v>
      </c>
      <c r="N125" t="s">
        <v>432</v>
      </c>
      <c r="O125" s="21" t="s">
        <v>560</v>
      </c>
      <c r="P125" s="27" t="str">
        <f>ROUND(_xlfn.XLOOKUP(G125,产品资料!C:C,产品资料!O:O)*J125,0)&amp;"/"&amp;IFERROR(ROUND(K125/J125/(_xlfn.XLOOKUP(G125,产品资料!C:C,产品资料!N:N)*7.85),2),0)&amp;"/"&amp;L125-K125</f>
        <v>671/0.76/6</v>
      </c>
    </row>
    <row r="126" spans="1:16" x14ac:dyDescent="0.15">
      <c r="A126">
        <f t="shared" si="15"/>
        <v>125</v>
      </c>
      <c r="B126" s="21">
        <v>46274</v>
      </c>
      <c r="C126" t="s">
        <v>189</v>
      </c>
      <c r="D126" t="s">
        <v>182</v>
      </c>
      <c r="E126" s="25" t="s">
        <v>290</v>
      </c>
      <c r="F126">
        <v>39407267</v>
      </c>
      <c r="G126" t="s">
        <v>19</v>
      </c>
      <c r="H126" t="str">
        <f>_xlfn.XLOOKUP(G126,产品资料!C:C,产品资料!E:E)</f>
        <v xml:space="preserve">4609底盖小加强板（0.8MM ) </v>
      </c>
      <c r="I126" t="str">
        <f>_xlfn.XLOOKUP(G126,产品资料!C:C,产品资料!F:F)</f>
        <v>0.8*119*1162</v>
      </c>
      <c r="J126">
        <v>1836</v>
      </c>
      <c r="K126">
        <v>1500</v>
      </c>
      <c r="L126">
        <v>1515</v>
      </c>
      <c r="M126" t="s">
        <v>616</v>
      </c>
      <c r="N126" t="s">
        <v>433</v>
      </c>
      <c r="O126" s="21" t="s">
        <v>560</v>
      </c>
      <c r="P126" s="27" t="str">
        <f>ROUND(_xlfn.XLOOKUP(G126,产品资料!C:C,产品资料!O:O)*J126,0)&amp;"/"&amp;IFERROR(ROUND(K126/J126/(_xlfn.XLOOKUP(G126,产品资料!C:C,产品资料!N:N)*7.85),2),0)&amp;"/"&amp;L126-K126</f>
        <v>1579/0.76/15</v>
      </c>
    </row>
    <row r="127" spans="1:16" x14ac:dyDescent="0.15">
      <c r="A127">
        <f t="shared" si="15"/>
        <v>126</v>
      </c>
      <c r="B127" s="21">
        <v>46274</v>
      </c>
      <c r="C127" t="s">
        <v>189</v>
      </c>
      <c r="D127" t="s">
        <v>182</v>
      </c>
      <c r="E127" s="25" t="s">
        <v>290</v>
      </c>
      <c r="F127">
        <v>39407267</v>
      </c>
      <c r="G127" t="s">
        <v>60</v>
      </c>
      <c r="H127" t="str">
        <f>_xlfn.XLOOKUP(G127,产品资料!C:C,产品资料!E:E)</f>
        <v>4609后内垫板大槽(0.8MM)</v>
      </c>
      <c r="I127" t="str">
        <f>_xlfn.XLOOKUP(G127,产品资料!C:C,产品资料!F:F)</f>
        <v>0.8*145*754.5</v>
      </c>
      <c r="J127">
        <v>1475</v>
      </c>
      <c r="K127">
        <v>960</v>
      </c>
      <c r="L127">
        <v>970</v>
      </c>
      <c r="M127" t="s">
        <v>535</v>
      </c>
      <c r="N127" t="s">
        <v>434</v>
      </c>
      <c r="O127" s="21" t="s">
        <v>576</v>
      </c>
      <c r="P127" s="27" t="str">
        <f>ROUND(_xlfn.XLOOKUP(G127,产品资料!C:C,产品资料!O:O)*J127,0)&amp;"/"&amp;IFERROR(ROUND(K127/J127/(_xlfn.XLOOKUP(G127,产品资料!C:C,产品资料!N:N)*7.85),2),0)&amp;"/"&amp;L127-K127</f>
        <v>1013/0.76/10</v>
      </c>
    </row>
    <row r="128" spans="1:16" x14ac:dyDescent="0.15">
      <c r="A128">
        <f t="shared" si="15"/>
        <v>127</v>
      </c>
      <c r="B128" s="21">
        <v>46274</v>
      </c>
      <c r="C128" t="s">
        <v>189</v>
      </c>
      <c r="D128" t="s">
        <v>182</v>
      </c>
      <c r="E128" s="25" t="s">
        <v>290</v>
      </c>
      <c r="F128">
        <v>39407267</v>
      </c>
      <c r="G128" t="s">
        <v>55</v>
      </c>
      <c r="H128" t="str">
        <f>_xlfn.XLOOKUP(G128,产品资料!C:C,产品资料!E:E)</f>
        <v>4609左内垫板(0.8MM)</v>
      </c>
      <c r="I128" t="str">
        <f>_xlfn.XLOOKUP(G128,产品资料!C:C,产品资料!F:F)</f>
        <v>0.8*152*662</v>
      </c>
      <c r="J128">
        <v>1407</v>
      </c>
      <c r="K128">
        <v>825</v>
      </c>
      <c r="L128">
        <v>835</v>
      </c>
      <c r="M128" t="s">
        <v>555</v>
      </c>
      <c r="N128" t="s">
        <v>435</v>
      </c>
      <c r="O128" s="21" t="s">
        <v>576</v>
      </c>
      <c r="P128" s="27" t="str">
        <f>ROUND(_xlfn.XLOOKUP(G128,产品资料!C:C,产品资料!O:O)*J128,0)&amp;"/"&amp;IFERROR(ROUND(K128/J128/(_xlfn.XLOOKUP(G128,产品资料!C:C,产品资料!N:N)*7.85),2),0)&amp;"/"&amp;L128-K128</f>
        <v>867/0.76/10</v>
      </c>
    </row>
    <row r="129" spans="1:17" x14ac:dyDescent="0.15">
      <c r="A129">
        <f t="shared" si="15"/>
        <v>128</v>
      </c>
      <c r="B129" s="21">
        <v>46274</v>
      </c>
      <c r="C129" t="s">
        <v>189</v>
      </c>
      <c r="D129" t="s">
        <v>182</v>
      </c>
      <c r="E129" s="25" t="s">
        <v>290</v>
      </c>
      <c r="F129">
        <v>39407267</v>
      </c>
      <c r="G129" t="s">
        <v>65</v>
      </c>
      <c r="H129" t="str">
        <f>_xlfn.XLOOKUP(G129,产品资料!C:C,产品资料!E:E)</f>
        <v>4609中隔板(0.8MM)</v>
      </c>
      <c r="I129" t="str">
        <f>_xlfn.XLOOKUP(G129,产品资料!C:C,产品资料!F:F)</f>
        <v>0.8*481.5*550</v>
      </c>
      <c r="J129">
        <v>521</v>
      </c>
      <c r="K129">
        <v>825</v>
      </c>
      <c r="L129">
        <v>830</v>
      </c>
      <c r="M129" t="s">
        <v>565</v>
      </c>
      <c r="N129" t="s">
        <v>436</v>
      </c>
      <c r="O129" s="21" t="s">
        <v>560</v>
      </c>
      <c r="P129" s="27" t="str">
        <f>ROUND(_xlfn.XLOOKUP(G129,产品资料!C:C,产品资料!O:O)*J129,0)&amp;"/"&amp;IFERROR(ROUND(K129/J129/(_xlfn.XLOOKUP(G129,产品资料!C:C,产品资料!N:N)*7.85),2),0)&amp;"/"&amp;L129-K129</f>
        <v>865/0.76/5</v>
      </c>
    </row>
    <row r="130" spans="1:17" x14ac:dyDescent="0.15">
      <c r="A130">
        <f t="shared" si="15"/>
        <v>129</v>
      </c>
      <c r="B130" s="21">
        <v>46274</v>
      </c>
      <c r="C130" t="s">
        <v>189</v>
      </c>
      <c r="D130" t="s">
        <v>182</v>
      </c>
      <c r="E130" s="25" t="s">
        <v>290</v>
      </c>
      <c r="F130">
        <v>39407267</v>
      </c>
      <c r="G130" t="s">
        <v>105</v>
      </c>
      <c r="H130" t="str">
        <f>_xlfn.XLOOKUP(G130,产品资料!C:C,产品资料!E:E)</f>
        <v>4609小拉手(0.8MM）</v>
      </c>
      <c r="I130" t="str">
        <f>_xlfn.XLOOKUP(G130,产品资料!C:C,产品资料!F:F)</f>
        <v>0.8*142*515</v>
      </c>
      <c r="J130">
        <v>2082</v>
      </c>
      <c r="K130">
        <v>902</v>
      </c>
      <c r="L130">
        <v>910</v>
      </c>
      <c r="M130" t="s">
        <v>551</v>
      </c>
      <c r="N130" t="s">
        <v>437</v>
      </c>
      <c r="O130" s="21" t="s">
        <v>617</v>
      </c>
      <c r="P130" s="27" t="str">
        <f>ROUND(_xlfn.XLOOKUP(G130,产品资料!C:C,产品资料!O:O)*J130,0)&amp;"/"&amp;IFERROR(ROUND(K130/J130/(_xlfn.XLOOKUP(G130,产品资料!C:C,产品资料!N:N)*7.85),2),0)&amp;"/"&amp;L130-K130</f>
        <v>952/0.76/8</v>
      </c>
    </row>
    <row r="131" spans="1:17" x14ac:dyDescent="0.15">
      <c r="A131">
        <f t="shared" si="15"/>
        <v>130</v>
      </c>
      <c r="B131" s="21">
        <v>46274</v>
      </c>
      <c r="C131" t="s">
        <v>189</v>
      </c>
      <c r="D131" t="s">
        <v>182</v>
      </c>
      <c r="E131" s="25" t="s">
        <v>290</v>
      </c>
      <c r="F131">
        <v>39407267</v>
      </c>
      <c r="G131" t="s">
        <v>125</v>
      </c>
      <c r="H131" t="str">
        <f>_xlfn.XLOOKUP(G131,产品资料!C:C,产品资料!E:E)</f>
        <v>4609大拉手(0.8MM）</v>
      </c>
      <c r="I131" t="str">
        <f>_xlfn.XLOOKUP(G131,产品资料!C:C,产品资料!F:F)</f>
        <v>0.8*303*515</v>
      </c>
      <c r="J131">
        <v>1018</v>
      </c>
      <c r="K131">
        <v>950</v>
      </c>
      <c r="L131">
        <v>955</v>
      </c>
      <c r="M131" t="s">
        <v>562</v>
      </c>
      <c r="N131" t="s">
        <v>438</v>
      </c>
      <c r="O131" s="21" t="s">
        <v>576</v>
      </c>
      <c r="P131" s="27" t="str">
        <f>ROUND(_xlfn.XLOOKUP(G131,产品资料!C:C,产品资料!O:O)*J131,0)&amp;"/"&amp;IFERROR(ROUND(K131/J131/(_xlfn.XLOOKUP(G131,产品资料!C:C,产品资料!N:N)*7.85),2),0)&amp;"/"&amp;L131-K131</f>
        <v>995/0.76/5</v>
      </c>
    </row>
    <row r="132" spans="1:17" x14ac:dyDescent="0.15">
      <c r="A132">
        <f t="shared" si="15"/>
        <v>131</v>
      </c>
      <c r="B132" s="21">
        <v>46275</v>
      </c>
      <c r="C132" t="s">
        <v>189</v>
      </c>
      <c r="D132" t="s">
        <v>182</v>
      </c>
      <c r="E132" s="25" t="s">
        <v>290</v>
      </c>
      <c r="F132">
        <v>39407267</v>
      </c>
      <c r="G132" t="s">
        <v>40</v>
      </c>
      <c r="H132" t="str">
        <f>_xlfn.XLOOKUP(G132,产品资料!C:C,产品资料!E:E)</f>
        <v>4609底盖（0.8MM)</v>
      </c>
      <c r="I132" t="str">
        <f>_xlfn.XLOOKUP(G132,产品资料!C:C,产品资料!F:F)</f>
        <v>0.8*552.5*1211</v>
      </c>
      <c r="J132">
        <v>483</v>
      </c>
      <c r="K132">
        <v>1918</v>
      </c>
      <c r="L132">
        <v>1928</v>
      </c>
      <c r="M132" t="s">
        <v>612</v>
      </c>
      <c r="N132" t="s">
        <v>439</v>
      </c>
      <c r="O132" s="21" t="s">
        <v>560</v>
      </c>
      <c r="P132" s="27" t="str">
        <f>ROUND(_xlfn.XLOOKUP(G132,产品资料!C:C,产品资料!O:O)*J132,0)&amp;"/"&amp;IFERROR(ROUND(K132/J132/(_xlfn.XLOOKUP(G132,产品资料!C:C,产品资料!N:N)*7.85),2),0)&amp;"/"&amp;L132-K132</f>
        <v>2008/0.76/10</v>
      </c>
    </row>
    <row r="133" spans="1:17" x14ac:dyDescent="0.15">
      <c r="A133">
        <f t="shared" si="15"/>
        <v>132</v>
      </c>
      <c r="B133" s="21">
        <v>46275</v>
      </c>
      <c r="C133" t="s">
        <v>189</v>
      </c>
      <c r="D133" t="s">
        <v>182</v>
      </c>
      <c r="E133" s="25" t="s">
        <v>290</v>
      </c>
      <c r="F133">
        <v>39407267</v>
      </c>
      <c r="G133" t="s">
        <v>100</v>
      </c>
      <c r="H133" t="str">
        <f>_xlfn.XLOOKUP(G133,产品资料!C:C,产品资料!E:E)</f>
        <v>4609小抽斗(0.8MM)</v>
      </c>
      <c r="I133" t="str">
        <f>_xlfn.XLOOKUP(G133,产品资料!C:C,产品资料!F:F)</f>
        <v>0.8*418*603</v>
      </c>
      <c r="J133">
        <v>1010</v>
      </c>
      <c r="K133">
        <v>1512</v>
      </c>
      <c r="L133">
        <v>1522</v>
      </c>
      <c r="M133" t="s">
        <v>534</v>
      </c>
      <c r="N133" t="s">
        <v>446</v>
      </c>
      <c r="O133" s="21" t="s">
        <v>523</v>
      </c>
      <c r="P133" s="27" t="str">
        <f>ROUND(_xlfn.XLOOKUP(G133,产品资料!C:C,产品资料!O:O)*J133,0)&amp;"/"&amp;IFERROR(ROUND(K133/J133/(_xlfn.XLOOKUP(G133,产品资料!C:C,产品资料!N:N)*7.85),2),0)&amp;"/"&amp;L133-K133</f>
        <v>1588/0.76/10</v>
      </c>
    </row>
    <row r="134" spans="1:17" x14ac:dyDescent="0.15">
      <c r="A134">
        <f t="shared" si="15"/>
        <v>133</v>
      </c>
      <c r="B134" s="21">
        <v>46275</v>
      </c>
      <c r="C134" t="s">
        <v>189</v>
      </c>
      <c r="D134" t="s">
        <v>182</v>
      </c>
      <c r="E134" s="25" t="s">
        <v>215</v>
      </c>
      <c r="F134">
        <v>39407267</v>
      </c>
      <c r="G134" t="s">
        <v>130</v>
      </c>
      <c r="H134" t="str">
        <f>_xlfn.XLOOKUP(G134,产品资料!C:C,产品资料!E:E)</f>
        <v>4609横槽(0.9MM)</v>
      </c>
      <c r="I134" t="str">
        <f>_xlfn.XLOOKUP(G134,产品资料!C:C,产品资料!F:F)</f>
        <v>0.9*86.5*1168.5</v>
      </c>
      <c r="J134">
        <v>1850</v>
      </c>
      <c r="K134">
        <v>1280</v>
      </c>
      <c r="L134">
        <v>1300</v>
      </c>
      <c r="M134" t="s">
        <v>618</v>
      </c>
      <c r="N134" t="s">
        <v>447</v>
      </c>
      <c r="O134" s="21" t="s">
        <v>560</v>
      </c>
      <c r="P134" s="27" t="str">
        <f>ROUND(_xlfn.XLOOKUP(G134,产品资料!C:C,产品资料!O:O)*J134,0)&amp;"/"&amp;IFERROR(ROUND(K134/J134/(_xlfn.XLOOKUP(G134,产品资料!C:C,产品资料!N:N)*7.85),2),0)&amp;"/"&amp;L134-K134</f>
        <v>1312/0.88/20</v>
      </c>
    </row>
    <row r="135" spans="1:17" x14ac:dyDescent="0.15">
      <c r="A135">
        <f t="shared" si="15"/>
        <v>134</v>
      </c>
      <c r="B135" s="21">
        <v>46275</v>
      </c>
      <c r="C135" t="s">
        <v>189</v>
      </c>
      <c r="D135" t="s">
        <v>182</v>
      </c>
      <c r="E135" s="25" t="s">
        <v>290</v>
      </c>
      <c r="F135">
        <v>39407267</v>
      </c>
      <c r="G135" t="s">
        <v>110</v>
      </c>
      <c r="H135" t="str">
        <f>_xlfn.XLOOKUP(G135,产品资料!C:C,产品资料!E:E)</f>
        <v>4609中抽斗(0.8MM)</v>
      </c>
      <c r="I135" t="str">
        <f>_xlfn.XLOOKUP(G135,产品资料!C:C,产品资料!F:F)</f>
        <v>0.8*418*639</v>
      </c>
      <c r="J135">
        <v>1047</v>
      </c>
      <c r="K135">
        <v>1660</v>
      </c>
      <c r="L135">
        <v>1670</v>
      </c>
      <c r="M135" t="s">
        <v>553</v>
      </c>
      <c r="N135" t="s">
        <v>440</v>
      </c>
      <c r="O135" s="21" t="s">
        <v>455</v>
      </c>
      <c r="P135" s="27" t="str">
        <f>ROUND(_xlfn.XLOOKUP(G135,产品资料!C:C,产品资料!O:O)*J135,0)&amp;"/"&amp;IFERROR(ROUND(K135/J135/(_xlfn.XLOOKUP(G135,产品资料!C:C,产品资料!N:N)*7.85),2),0)&amp;"/"&amp;L135-K135</f>
        <v>1746/0.76/10</v>
      </c>
    </row>
    <row r="136" spans="1:17" x14ac:dyDescent="0.15">
      <c r="A136">
        <f t="shared" si="15"/>
        <v>135</v>
      </c>
      <c r="B136" s="21">
        <v>46275</v>
      </c>
      <c r="C136" t="s">
        <v>189</v>
      </c>
      <c r="D136" t="s">
        <v>182</v>
      </c>
      <c r="E136" s="25" t="s">
        <v>290</v>
      </c>
      <c r="F136">
        <v>39407267</v>
      </c>
      <c r="G136" t="s">
        <v>100</v>
      </c>
      <c r="H136" t="str">
        <f>_xlfn.XLOOKUP(G136,产品资料!C:C,产品资料!E:E)</f>
        <v>4609小抽斗(0.8MM)</v>
      </c>
      <c r="I136" t="str">
        <f>_xlfn.XLOOKUP(G136,产品资料!C:C,产品资料!F:F)</f>
        <v>0.8*418*603</v>
      </c>
      <c r="J136">
        <v>952</v>
      </c>
      <c r="K136">
        <v>1416</v>
      </c>
      <c r="L136">
        <v>1426</v>
      </c>
      <c r="M136" t="s">
        <v>566</v>
      </c>
      <c r="N136" t="s">
        <v>441</v>
      </c>
      <c r="O136" s="21" t="s">
        <v>456</v>
      </c>
      <c r="P136" s="27" t="str">
        <f>ROUND(_xlfn.XLOOKUP(G136,产品资料!C:C,产品资料!O:O)*J136,0)&amp;"/"&amp;IFERROR(ROUND(K136/J136/(_xlfn.XLOOKUP(G136,产品资料!C:C,产品资料!N:N)*7.85),2),0)&amp;"/"&amp;L136-K136</f>
        <v>1497/0.76/10</v>
      </c>
    </row>
    <row r="137" spans="1:17" x14ac:dyDescent="0.15">
      <c r="A137">
        <f t="shared" si="15"/>
        <v>136</v>
      </c>
      <c r="B137" s="21">
        <v>46276</v>
      </c>
      <c r="C137" t="s">
        <v>189</v>
      </c>
      <c r="D137" t="s">
        <v>182</v>
      </c>
      <c r="E137" s="25" t="s">
        <v>290</v>
      </c>
      <c r="F137">
        <v>39407267</v>
      </c>
      <c r="G137" t="s">
        <v>110</v>
      </c>
      <c r="H137" t="str">
        <f>_xlfn.XLOOKUP(G137,产品资料!C:C,产品资料!E:E)</f>
        <v>4609中抽斗(0.8MM)</v>
      </c>
      <c r="I137" t="str">
        <f>_xlfn.XLOOKUP(G137,产品资料!C:C,产品资料!F:F)</f>
        <v>0.8*418*639</v>
      </c>
      <c r="J137">
        <v>1046</v>
      </c>
      <c r="K137">
        <v>1662</v>
      </c>
      <c r="L137">
        <v>1672</v>
      </c>
      <c r="M137" t="s">
        <v>553</v>
      </c>
      <c r="N137" t="s">
        <v>442</v>
      </c>
      <c r="O137" s="21" t="s">
        <v>576</v>
      </c>
      <c r="P137" s="27" t="str">
        <f>ROUND(_xlfn.XLOOKUP(G137,产品资料!C:C,产品资料!O:O)*J137,0)&amp;"/"&amp;IFERROR(ROUND(K137/J137/(_xlfn.XLOOKUP(G137,产品资料!C:C,产品资料!N:N)*7.85),2),0)&amp;"/"&amp;L137-K137</f>
        <v>1744/0.76/10</v>
      </c>
    </row>
    <row r="138" spans="1:17" x14ac:dyDescent="0.15">
      <c r="A138">
        <f t="shared" si="15"/>
        <v>137</v>
      </c>
      <c r="B138" s="21">
        <v>46276</v>
      </c>
      <c r="C138" t="s">
        <v>189</v>
      </c>
      <c r="D138" t="s">
        <v>182</v>
      </c>
      <c r="E138" s="25" t="s">
        <v>290</v>
      </c>
      <c r="F138">
        <v>39407267</v>
      </c>
      <c r="G138" t="s">
        <v>100</v>
      </c>
      <c r="H138" t="str">
        <f>_xlfn.XLOOKUP(G138,产品资料!C:C,产品资料!E:E)</f>
        <v>4609小抽斗(0.8MM)</v>
      </c>
      <c r="I138" t="str">
        <f>_xlfn.XLOOKUP(G138,产品资料!C:C,产品资料!F:F)</f>
        <v>0.8*418*603</v>
      </c>
      <c r="J138">
        <v>983</v>
      </c>
      <c r="K138">
        <v>1462</v>
      </c>
      <c r="L138">
        <v>1472</v>
      </c>
      <c r="M138" t="s">
        <v>597</v>
      </c>
      <c r="N138" t="s">
        <v>443</v>
      </c>
      <c r="O138" s="21" t="s">
        <v>505</v>
      </c>
      <c r="P138" s="27" t="str">
        <f>ROUND(_xlfn.XLOOKUP(G138,产品资料!C:C,产品资料!O:O)*J138,0)&amp;"/"&amp;IFERROR(ROUND(K138/J138/(_xlfn.XLOOKUP(G138,产品资料!C:C,产品资料!N:N)*7.85),2),0)&amp;"/"&amp;L138-K138</f>
        <v>1546/0.76/10</v>
      </c>
    </row>
    <row r="139" spans="1:17" x14ac:dyDescent="0.15">
      <c r="A139">
        <f t="shared" si="15"/>
        <v>138</v>
      </c>
      <c r="B139" s="21">
        <v>46276</v>
      </c>
      <c r="C139" t="s">
        <v>189</v>
      </c>
      <c r="D139" t="s">
        <v>182</v>
      </c>
      <c r="E139" s="25" t="s">
        <v>309</v>
      </c>
      <c r="F139">
        <v>39407267</v>
      </c>
      <c r="G139" t="s">
        <v>100</v>
      </c>
      <c r="H139" t="str">
        <f>_xlfn.XLOOKUP(G139,产品资料!C:C,产品资料!E:E)</f>
        <v>4609小抽斗(0.8MM)</v>
      </c>
      <c r="I139" t="str">
        <f>_xlfn.XLOOKUP(G139,产品资料!C:C,产品资料!F:F)</f>
        <v>0.8*418*603</v>
      </c>
      <c r="J139">
        <v>909</v>
      </c>
      <c r="K139">
        <v>1358</v>
      </c>
      <c r="L139">
        <v>1368</v>
      </c>
      <c r="M139" t="s">
        <v>597</v>
      </c>
      <c r="N139" t="s">
        <v>450</v>
      </c>
      <c r="O139" s="21" t="s">
        <v>617</v>
      </c>
      <c r="P139" s="27" t="str">
        <f>ROUND(_xlfn.XLOOKUP(G139,产品资料!C:C,产品资料!O:O)*J139,0)&amp;"/"&amp;IFERROR(ROUND(K139/J139/(_xlfn.XLOOKUP(G139,产品资料!C:C,产品资料!N:N)*7.85),2),0)&amp;"/"&amp;L139-K139</f>
        <v>1430/0.76/10</v>
      </c>
      <c r="Q139">
        <v>1</v>
      </c>
    </row>
    <row r="140" spans="1:17" x14ac:dyDescent="0.15">
      <c r="A140">
        <f t="shared" si="15"/>
        <v>139</v>
      </c>
      <c r="B140" s="21">
        <v>46277</v>
      </c>
      <c r="C140" t="s">
        <v>189</v>
      </c>
      <c r="D140" t="s">
        <v>182</v>
      </c>
      <c r="E140" s="25" t="s">
        <v>309</v>
      </c>
      <c r="F140">
        <v>39407267</v>
      </c>
      <c r="G140" t="s">
        <v>90</v>
      </c>
      <c r="H140" t="str">
        <f>_xlfn.XLOOKUP(G140,产品资料!C:C,产品资料!E:E)</f>
        <v>4609顶长抽斗(0.8MM)</v>
      </c>
      <c r="I140" t="str">
        <f>_xlfn.XLOOKUP(G140,产品资料!C:C,产品资料!F:F)</f>
        <v>0.8*418*1210</v>
      </c>
      <c r="J140">
        <v>496</v>
      </c>
      <c r="K140">
        <v>1488</v>
      </c>
      <c r="L140">
        <v>1498</v>
      </c>
      <c r="M140" t="s">
        <v>619</v>
      </c>
      <c r="N140" t="s">
        <v>451</v>
      </c>
      <c r="O140" s="21" t="s">
        <v>495</v>
      </c>
      <c r="P140" s="27" t="str">
        <f>ROUND(_xlfn.XLOOKUP(G140,产品资料!C:C,产品资料!O:O)*J140,0)&amp;"/"&amp;IFERROR(ROUND(K140/J140/(_xlfn.XLOOKUP(G140,产品资料!C:C,产品资料!N:N)*7.85),2),0)&amp;"/"&amp;L140-K140</f>
        <v>1570/0.76/10</v>
      </c>
      <c r="Q140">
        <v>1</v>
      </c>
    </row>
    <row r="141" spans="1:17" x14ac:dyDescent="0.15">
      <c r="A141">
        <f t="shared" si="15"/>
        <v>140</v>
      </c>
      <c r="B141" s="21">
        <v>46277</v>
      </c>
      <c r="C141" t="s">
        <v>189</v>
      </c>
      <c r="D141" t="s">
        <v>182</v>
      </c>
      <c r="E141" s="25" t="s">
        <v>309</v>
      </c>
      <c r="F141">
        <v>39407267</v>
      </c>
      <c r="G141" t="s">
        <v>90</v>
      </c>
      <c r="H141" t="str">
        <f>_xlfn.XLOOKUP(G141,产品资料!C:C,产品资料!E:E)</f>
        <v>4609顶长抽斗(0.8MM)</v>
      </c>
      <c r="I141" t="str">
        <f>_xlfn.XLOOKUP(G141,产品资料!C:C,产品资料!F:F)</f>
        <v>0.8*418*1210</v>
      </c>
      <c r="J141">
        <v>535</v>
      </c>
      <c r="K141">
        <v>1608</v>
      </c>
      <c r="L141">
        <v>1618</v>
      </c>
      <c r="M141" t="s">
        <v>620</v>
      </c>
      <c r="N141" t="s">
        <v>452</v>
      </c>
      <c r="O141" s="21" t="s">
        <v>524</v>
      </c>
      <c r="P141" s="27" t="str">
        <f>ROUND(_xlfn.XLOOKUP(G141,产品资料!C:C,产品资料!O:O)*J141,0)&amp;"/"&amp;IFERROR(ROUND(K141/J141/(_xlfn.XLOOKUP(G141,产品资料!C:C,产品资料!N:N)*7.85),2),0)&amp;"/"&amp;L141-K141</f>
        <v>1693/0.76/10</v>
      </c>
      <c r="Q141">
        <v>1</v>
      </c>
    </row>
    <row r="142" spans="1:17" x14ac:dyDescent="0.15">
      <c r="A142">
        <f t="shared" si="15"/>
        <v>141</v>
      </c>
      <c r="B142" s="21">
        <v>46277</v>
      </c>
      <c r="C142" t="s">
        <v>189</v>
      </c>
      <c r="D142" t="s">
        <v>182</v>
      </c>
      <c r="E142" s="25" t="s">
        <v>309</v>
      </c>
      <c r="F142">
        <v>39407267</v>
      </c>
      <c r="G142" t="s">
        <v>90</v>
      </c>
      <c r="H142" t="str">
        <f>_xlfn.XLOOKUP(G142,产品资料!C:C,产品资料!E:E)</f>
        <v>4609顶长抽斗(0.8MM)</v>
      </c>
      <c r="I142" t="str">
        <f>_xlfn.XLOOKUP(G142,产品资料!C:C,产品资料!F:F)</f>
        <v>0.8*418*1210</v>
      </c>
      <c r="J142">
        <v>538</v>
      </c>
      <c r="K142">
        <v>1620</v>
      </c>
      <c r="L142">
        <v>1630</v>
      </c>
      <c r="M142" t="s">
        <v>621</v>
      </c>
      <c r="N142" t="s">
        <v>453</v>
      </c>
      <c r="O142" s="21" t="s">
        <v>560</v>
      </c>
      <c r="P142" s="27" t="str">
        <f>ROUND(_xlfn.XLOOKUP(G142,产品资料!C:C,产品资料!O:O)*J142,0)&amp;"/"&amp;IFERROR(ROUND(K142/J142/(_xlfn.XLOOKUP(G142,产品资料!C:C,产品资料!N:N)*7.85),2),0)&amp;"/"&amp;L142-K142</f>
        <v>1703/0.76/10</v>
      </c>
      <c r="Q142">
        <v>1</v>
      </c>
    </row>
  </sheetData>
  <autoFilter ref="A1:Q142" xr:uid="{00000000-0009-0000-0000-000004000000}"/>
  <phoneticPr fontId="14" type="noConversion"/>
  <pageMargins left="0.75" right="0.75" top="1" bottom="1" header="0.5" footer="0.5"/>
  <pageSetup paperSize="26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H21"/>
  <sheetViews>
    <sheetView showGridLines="0" zoomScale="80" zoomScaleNormal="80" workbookViewId="0">
      <selection activeCell="J5" sqref="J5"/>
    </sheetView>
  </sheetViews>
  <sheetFormatPr defaultColWidth="9" defaultRowHeight="17.25" x14ac:dyDescent="0.15"/>
  <cols>
    <col min="1" max="1" width="16.25" style="1" customWidth="1"/>
    <col min="2" max="2" width="13.25" style="1" customWidth="1"/>
    <col min="3" max="3" width="19.375" style="1" customWidth="1"/>
    <col min="4" max="4" width="19.125" style="2" customWidth="1"/>
    <col min="6" max="6" width="9.5" customWidth="1"/>
  </cols>
  <sheetData>
    <row r="1" spans="1:8" ht="39" customHeight="1" x14ac:dyDescent="0.15">
      <c r="A1" s="10" t="s">
        <v>622</v>
      </c>
      <c r="B1" s="11" t="s">
        <v>623</v>
      </c>
      <c r="C1" s="10" t="s">
        <v>624</v>
      </c>
      <c r="D1" s="12" t="str">
        <f t="array" ref="D1">LOOKUP(1,0/(打包记录!I:I=标签!D2),打包记录!G:G)</f>
        <v>LP00033200</v>
      </c>
    </row>
    <row r="2" spans="1:8" ht="39" customHeight="1" x14ac:dyDescent="0.15">
      <c r="A2" s="10" t="s">
        <v>625</v>
      </c>
      <c r="B2" s="13">
        <f t="array" ref="B2">LOOKUP(1,0/(打包记录!I:I=标签!D2),打包记录!K:K)</f>
        <v>1620</v>
      </c>
      <c r="C2" s="10" t="s">
        <v>626</v>
      </c>
      <c r="D2" s="12" t="s">
        <v>93</v>
      </c>
    </row>
    <row r="3" spans="1:8" ht="39" customHeight="1" x14ac:dyDescent="0.15">
      <c r="A3" s="10" t="s">
        <v>627</v>
      </c>
      <c r="B3" s="13">
        <f t="array" ref="B3">LOOKUP(1,0/(打包记录!I:I=标签!D2),打包记录!L:L)</f>
        <v>1630</v>
      </c>
      <c r="C3" s="10" t="s">
        <v>628</v>
      </c>
      <c r="D3" s="14">
        <f t="array" ref="D3">LOOKUP(1,0/(打包记录!I:I=标签!D2),打包记录!J:J)</f>
        <v>538</v>
      </c>
    </row>
    <row r="4" spans="1:8" ht="39" customHeight="1" x14ac:dyDescent="0.15">
      <c r="A4" s="54" t="str">
        <f>_xlfn.XLOOKUP(B5,订单数量!C:C,订单数量!B:B,"")</f>
        <v>CPI-260609-5</v>
      </c>
      <c r="B4" s="55"/>
      <c r="C4" s="10" t="s">
        <v>629</v>
      </c>
      <c r="D4" s="12" t="s">
        <v>630</v>
      </c>
    </row>
    <row r="5" spans="1:8" ht="39" customHeight="1" x14ac:dyDescent="0.15">
      <c r="A5" s="10" t="s">
        <v>631</v>
      </c>
      <c r="B5" s="15">
        <f t="array" ref="B5">LOOKUP(1,0/(打包记录!I:I=标签!D2),打包记录!F:F)</f>
        <v>39407267</v>
      </c>
      <c r="C5" s="10" t="s">
        <v>632</v>
      </c>
      <c r="D5" s="16">
        <f t="array" ref="D5">LOOKUP(1,0/(打包记录!I:I=标签!D2),打包记录!B:B)</f>
        <v>46277</v>
      </c>
      <c r="F5" s="17"/>
      <c r="H5" s="18"/>
    </row>
    <row r="6" spans="1:8" ht="45" customHeight="1" x14ac:dyDescent="0.15">
      <c r="A6" s="56" t="s">
        <v>633</v>
      </c>
      <c r="B6" s="56"/>
      <c r="C6" s="19" t="s">
        <v>634</v>
      </c>
      <c r="D6" s="13" t="s">
        <v>635</v>
      </c>
    </row>
    <row r="7" spans="1:8" ht="264.75" customHeight="1" x14ac:dyDescent="0.15">
      <c r="A7" s="57" t="str">
        <f t="array" ref="A7">LOOKUP(1,0/(标签!$D$1=打包记录!$G:$G),打包记录!$N:$N)</f>
        <v>17#-14</v>
      </c>
      <c r="B7" s="57"/>
      <c r="C7" s="57"/>
      <c r="D7" s="57"/>
    </row>
    <row r="8" spans="1:8" ht="18" x14ac:dyDescent="0.15">
      <c r="D8" s="9"/>
    </row>
    <row r="12" spans="1:8" ht="18" x14ac:dyDescent="0.15">
      <c r="E12" s="9"/>
    </row>
    <row r="21" spans="7:7" ht="18" x14ac:dyDescent="0.15">
      <c r="G21" s="9"/>
    </row>
  </sheetData>
  <sheetProtection sheet="1" objects="1" formatCells="0"/>
  <protectedRanges>
    <protectedRange sqref="D2" name="区域1"/>
  </protectedRanges>
  <mergeCells count="3">
    <mergeCell ref="A4:B4"/>
    <mergeCell ref="A6:B6"/>
    <mergeCell ref="A7:D7"/>
  </mergeCells>
  <phoneticPr fontId="14" type="noConversion"/>
  <conditionalFormatting sqref="A4:B4">
    <cfRule type="expression" dxfId="1" priority="1">
      <formula>$A$4=0</formula>
    </cfRule>
  </conditionalFormatting>
  <conditionalFormatting sqref="A1:D3 A4 C4:D4 A5:D6">
    <cfRule type="expression" dxfId="0" priority="2">
      <formula>OR($B$2=0,$B$3=0,$D$1=0,$D$3=0,$D$4=0,$D$5=0,$B$5=0)</formula>
    </cfRule>
  </conditionalFormatting>
  <printOptions horizontalCentered="1" verticalCentered="1"/>
  <pageMargins left="0.118055555555556" right="0.118055555555556" top="0.118055555555556" bottom="0.118055555555556" header="0.51041666666666696" footer="0.51041666666666696"/>
  <pageSetup paperSize="262" scale="99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G19"/>
  <sheetViews>
    <sheetView showGridLines="0" zoomScale="80" zoomScaleNormal="80" workbookViewId="0">
      <selection activeCell="E14" sqref="E14"/>
    </sheetView>
  </sheetViews>
  <sheetFormatPr defaultColWidth="9" defaultRowHeight="17.25" x14ac:dyDescent="0.15"/>
  <cols>
    <col min="1" max="1" width="19.625" style="1" customWidth="1"/>
    <col min="2" max="2" width="16.875" style="1" customWidth="1"/>
    <col min="3" max="3" width="10.625" style="1" customWidth="1"/>
    <col min="4" max="4" width="29.625" style="2" customWidth="1"/>
    <col min="6" max="6" width="9.5" customWidth="1"/>
  </cols>
  <sheetData>
    <row r="1" spans="1:5" ht="50.1" customHeight="1" x14ac:dyDescent="0.15">
      <c r="A1" s="3" t="s">
        <v>636</v>
      </c>
      <c r="B1" s="58" t="s">
        <v>637</v>
      </c>
      <c r="C1" s="59"/>
      <c r="D1" s="60"/>
    </row>
    <row r="2" spans="1:5" ht="50.1" customHeight="1" x14ac:dyDescent="0.15">
      <c r="A2" s="3" t="s">
        <v>6</v>
      </c>
      <c r="B2" s="4"/>
      <c r="C2" s="5"/>
      <c r="D2" s="6"/>
    </row>
    <row r="3" spans="1:5" ht="50.1" customHeight="1" x14ac:dyDescent="0.15">
      <c r="A3" s="3" t="s">
        <v>160</v>
      </c>
      <c r="B3" s="58" t="s">
        <v>638</v>
      </c>
      <c r="C3" s="59"/>
      <c r="D3" s="60"/>
    </row>
    <row r="4" spans="1:5" ht="50.1" customHeight="1" x14ac:dyDescent="0.15">
      <c r="A4" s="3" t="s">
        <v>639</v>
      </c>
      <c r="B4" s="7"/>
      <c r="C4" s="3" t="s">
        <v>161</v>
      </c>
      <c r="D4" s="8">
        <v>358</v>
      </c>
    </row>
    <row r="5" spans="1:5" ht="50.1" customHeight="1" x14ac:dyDescent="0.15">
      <c r="A5" s="3" t="s">
        <v>640</v>
      </c>
      <c r="B5" s="7"/>
      <c r="C5" s="3" t="s">
        <v>168</v>
      </c>
      <c r="D5" s="8"/>
    </row>
    <row r="6" spans="1:5" ht="18" x14ac:dyDescent="0.15">
      <c r="D6" s="9"/>
    </row>
    <row r="10" spans="1:5" ht="18" x14ac:dyDescent="0.15">
      <c r="E10" s="9"/>
    </row>
    <row r="19" spans="7:7" ht="18" x14ac:dyDescent="0.15">
      <c r="G19" s="9"/>
    </row>
  </sheetData>
  <sheetProtection formatCells="0"/>
  <protectedRanges>
    <protectedRange sqref="D4" name="区域1"/>
  </protectedRanges>
  <mergeCells count="2">
    <mergeCell ref="B1:D1"/>
    <mergeCell ref="B3:D3"/>
  </mergeCells>
  <phoneticPr fontId="14" type="noConversion"/>
  <printOptions horizontalCentered="1" verticalCentered="1"/>
  <pageMargins left="0.118055555555556" right="0.118055555555556" top="0.118055555555556" bottom="0.118055555555556" header="0.51041666666666696" footer="0.51041666666666696"/>
  <pageSetup paperSize="262" scale="88" fitToHeight="0" orientation="landscape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dm:cachedDataManifest xmlns:cdm="http://schemas.microsoft.com/2004/VisualStudio/Tools/Applications/CachedDataManifest.xsd" cdm:revision="1"/>
</file>

<file path=customXml/item2.xml><?xml version="1.0" encoding="utf-8"?>
<allowEditUser xmlns="https://web.wps.cn/et/2018/main" xmlns:s="http://schemas.openxmlformats.org/spreadsheetml/2006/main" hasInvisiblePropRange="0">
  <rangeList sheetStid="4" master="" otherUserPermission="visible"/>
  <rangeList sheetStid="27" master="" otherUserPermission="visible"/>
  <rangeList sheetStid="28" master="" otherUserPermission="visible"/>
  <rangeList sheetStid="8" master="" otherUserPermission="visible"/>
  <rangeList sheetStid="6" master="" otherUserPermission="visible"/>
  <rangeList sheetStid="16" master="" otherUserPermission="visible">
    <arrUserId title="区域1" rangeCreator="" othersAccessPermission="edit"/>
  </rangeList>
  <rangeList sheetStid="95" master="" otherUserPermission="visible"/>
  <rangeList sheetStid="54" master="" otherUserPermission="visible">
    <arrUserId title="区域1" rangeCreator="" othersAccessPermission="edit"/>
  </rangeList>
</allowEditUser>
</file>

<file path=customXml/item3.xml>��
</file>

<file path=customXml/itemProps1.xml><?xml version="1.0" encoding="utf-8"?>
<ds:datastoreItem xmlns:ds="http://schemas.openxmlformats.org/officeDocument/2006/customXml" ds:itemID="{85AE6278-2152-44C0-89D6-A14641926E96}">
  <ds:schemaRefs/>
</ds:datastoreItem>
</file>

<file path=customXml/itemProps2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3F444C80-AFB4-4F46-B4CD-200B3FB591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产品资料</vt:lpstr>
      <vt:lpstr>订单数量</vt:lpstr>
      <vt:lpstr>生产日报</vt:lpstr>
      <vt:lpstr>打包记录</vt:lpstr>
      <vt:lpstr>标签</vt:lpstr>
      <vt:lpstr>标签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a45245</cp:lastModifiedBy>
  <cp:lastPrinted>2026-09-24T13:28:40Z</cp:lastPrinted>
  <dcterms:created xsi:type="dcterms:W3CDTF">2026-05-11T15:42:00Z</dcterms:created>
  <dcterms:modified xsi:type="dcterms:W3CDTF">2026-09-26T01:48:50Z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820B6524F58844AB84D13047D1FD9F4E_13</vt:lpwstr>
  </property>
  <property fmtid="{D5CDD505-2E9C-101B-9397-08002B2CF9AE}" pid="4" name="KSOProductBuildVer">
    <vt:lpwstr>2052-12.1.0.22529</vt:lpwstr>
  </property>
</Properties>
</file>